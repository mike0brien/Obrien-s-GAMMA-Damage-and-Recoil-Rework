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Mike\Desktop\Gamma Changes\__My Mods\"/>
    </mc:Choice>
  </mc:AlternateContent>
  <xr:revisionPtr revIDLastSave="0" documentId="8_{212D0A56-E1D0-43A2-8923-F5296094BD4E}" xr6:coauthVersionLast="47" xr6:coauthVersionMax="47" xr10:uidLastSave="{00000000-0000-0000-0000-000000000000}"/>
  <bookViews>
    <workbookView xWindow="-120" yWindow="-120" windowWidth="51840" windowHeight="21120" xr2:uid="{2DB858F7-08D5-452D-9C83-B45C06A2F082}"/>
  </bookViews>
  <sheets>
    <sheet name="stalker damage calc"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23" i="1" l="1" a="1"/>
  <c r="O23" i="1" s="1"/>
  <c r="J23" i="1" a="1"/>
  <c r="J23" i="1" s="1"/>
  <c r="K23" i="1" s="1"/>
  <c r="G23" i="1" a="1"/>
  <c r="G23" i="1" s="1"/>
  <c r="L23" i="1" s="1"/>
  <c r="F23" i="1" a="1"/>
  <c r="F23" i="1" s="1"/>
  <c r="O22" i="1" a="1"/>
  <c r="O22" i="1" s="1"/>
  <c r="J22" i="1" a="1"/>
  <c r="J22" i="1" s="1"/>
  <c r="K22" i="1" s="1"/>
  <c r="G22" i="1" a="1"/>
  <c r="G22" i="1" s="1"/>
  <c r="L22" i="1" s="1"/>
  <c r="F22" i="1" a="1"/>
  <c r="F22" i="1" s="1"/>
  <c r="O21" i="1" a="1"/>
  <c r="O21" i="1" s="1"/>
  <c r="J21" i="1" a="1"/>
  <c r="J21" i="1" s="1"/>
  <c r="K21" i="1" s="1"/>
  <c r="G21" i="1" a="1"/>
  <c r="G21" i="1" s="1"/>
  <c r="L21" i="1" s="1"/>
  <c r="F21" i="1" a="1"/>
  <c r="F21" i="1" s="1"/>
  <c r="O20" i="1" a="1"/>
  <c r="O20" i="1" s="1"/>
  <c r="J20" i="1" a="1"/>
  <c r="J20" i="1" s="1"/>
  <c r="K20" i="1" s="1"/>
  <c r="G20" i="1" a="1"/>
  <c r="G20" i="1" s="1"/>
  <c r="L20" i="1" s="1"/>
  <c r="F20" i="1" a="1"/>
  <c r="F20" i="1" s="1"/>
  <c r="O19" i="1" a="1"/>
  <c r="O19" i="1" s="1"/>
  <c r="J19" i="1" a="1"/>
  <c r="J19" i="1" s="1"/>
  <c r="K19" i="1" s="1"/>
  <c r="G19" i="1" a="1"/>
  <c r="G19" i="1" s="1"/>
  <c r="L19" i="1" s="1"/>
  <c r="F19" i="1" a="1"/>
  <c r="F19" i="1" s="1"/>
  <c r="O18" i="1" a="1"/>
  <c r="O18" i="1" s="1"/>
  <c r="J18" i="1" a="1"/>
  <c r="J18" i="1" s="1"/>
  <c r="K18" i="1" s="1"/>
  <c r="G18" i="1" a="1"/>
  <c r="G18" i="1" s="1"/>
  <c r="L18" i="1" s="1"/>
  <c r="F18" i="1" a="1"/>
  <c r="F18" i="1" s="1"/>
  <c r="O17" i="1" a="1"/>
  <c r="O17" i="1" s="1"/>
  <c r="J17" i="1" a="1"/>
  <c r="J17" i="1" s="1"/>
  <c r="K17" i="1" s="1"/>
  <c r="G17" i="1" a="1"/>
  <c r="G17" i="1" s="1"/>
  <c r="L17" i="1" s="1"/>
  <c r="F17" i="1" a="1"/>
  <c r="F17" i="1" s="1"/>
  <c r="O16" i="1" a="1"/>
  <c r="O16" i="1" s="1"/>
  <c r="J16" i="1" a="1"/>
  <c r="J16" i="1" s="1"/>
  <c r="K16" i="1" s="1"/>
  <c r="G16" i="1" a="1"/>
  <c r="G16" i="1" s="1"/>
  <c r="L16" i="1" s="1"/>
  <c r="F16" i="1" a="1"/>
  <c r="F16" i="1" s="1"/>
  <c r="O15" i="1" a="1"/>
  <c r="O15" i="1" s="1"/>
  <c r="J15" i="1" a="1"/>
  <c r="J15" i="1" s="1"/>
  <c r="K15" i="1" s="1"/>
  <c r="G15" i="1" a="1"/>
  <c r="G15" i="1" s="1"/>
  <c r="L15" i="1" s="1"/>
  <c r="F15" i="1" a="1"/>
  <c r="F15" i="1" s="1"/>
  <c r="O14" i="1" a="1"/>
  <c r="O14" i="1" s="1"/>
  <c r="J14" i="1" a="1"/>
  <c r="J14" i="1" s="1"/>
  <c r="K14" i="1" s="1"/>
  <c r="G14" i="1" a="1"/>
  <c r="G14" i="1" s="1"/>
  <c r="L14" i="1" s="1"/>
  <c r="F14" i="1" a="1"/>
  <c r="F14" i="1" s="1"/>
  <c r="K10" i="1"/>
  <c r="K9" i="1"/>
  <c r="K8" i="1"/>
  <c r="K7" i="1"/>
  <c r="K6" i="1"/>
  <c r="K5" i="1"/>
  <c r="O11" i="1" a="1"/>
  <c r="O11" i="1" s="1"/>
  <c r="O10" i="1" a="1"/>
  <c r="O10" i="1" s="1"/>
  <c r="O9" i="1" a="1"/>
  <c r="O9" i="1" s="1"/>
  <c r="O8" i="1" a="1"/>
  <c r="O8" i="1" s="1"/>
  <c r="O7" i="1" a="1"/>
  <c r="O7" i="1" s="1"/>
  <c r="O6" i="1" a="1"/>
  <c r="O6" i="1" s="1"/>
  <c r="O5" i="1" a="1"/>
  <c r="O5" i="1" s="1"/>
  <c r="O4" i="1" a="1"/>
  <c r="O4" i="1" s="1"/>
  <c r="O3" i="1" a="1"/>
  <c r="O3" i="1" s="1"/>
  <c r="O2" i="1" a="1"/>
  <c r="O2" i="1" s="1"/>
  <c r="J11" i="1" a="1"/>
  <c r="J11" i="1" s="1"/>
  <c r="K11" i="1" s="1"/>
  <c r="G11" i="1" a="1"/>
  <c r="G11" i="1" s="1"/>
  <c r="L11" i="1" s="1"/>
  <c r="F11" i="1" a="1"/>
  <c r="F11" i="1" s="1"/>
  <c r="J10" i="1" a="1"/>
  <c r="J10" i="1" s="1"/>
  <c r="G10" i="1" a="1"/>
  <c r="G10" i="1" s="1"/>
  <c r="L10" i="1" s="1"/>
  <c r="F10" i="1" a="1"/>
  <c r="F10" i="1" s="1"/>
  <c r="J9" i="1" a="1"/>
  <c r="J9" i="1" s="1"/>
  <c r="G9" i="1" a="1"/>
  <c r="G9" i="1" s="1"/>
  <c r="L9" i="1" s="1"/>
  <c r="F9" i="1" a="1"/>
  <c r="F9" i="1" s="1"/>
  <c r="J8" i="1" a="1"/>
  <c r="J8" i="1" s="1"/>
  <c r="G8" i="1" a="1"/>
  <c r="G8" i="1" s="1"/>
  <c r="L8" i="1" s="1"/>
  <c r="F8" i="1" a="1"/>
  <c r="F8" i="1" s="1"/>
  <c r="J7" i="1" a="1"/>
  <c r="J7" i="1" s="1"/>
  <c r="G7" i="1" a="1"/>
  <c r="G7" i="1" s="1"/>
  <c r="L7" i="1" s="1"/>
  <c r="F7" i="1" a="1"/>
  <c r="F7" i="1" s="1"/>
  <c r="J6" i="1" a="1"/>
  <c r="J6" i="1" s="1"/>
  <c r="G6" i="1" a="1"/>
  <c r="G6" i="1" s="1"/>
  <c r="L6" i="1" s="1"/>
  <c r="F6" i="1" a="1"/>
  <c r="F6" i="1" s="1"/>
  <c r="J5" i="1" a="1"/>
  <c r="J5" i="1" s="1"/>
  <c r="G5" i="1" a="1"/>
  <c r="G5" i="1" s="1"/>
  <c r="L5" i="1" s="1"/>
  <c r="F5" i="1" a="1"/>
  <c r="F5" i="1" s="1"/>
  <c r="J4" i="1" a="1"/>
  <c r="J4" i="1" s="1"/>
  <c r="K4" i="1" s="1"/>
  <c r="G4" i="1" a="1"/>
  <c r="G4" i="1" s="1"/>
  <c r="F4" i="1" a="1"/>
  <c r="F4" i="1" s="1"/>
  <c r="J3" i="1" a="1"/>
  <c r="J3" i="1" s="1"/>
  <c r="K3" i="1" s="1"/>
  <c r="G3" i="1" a="1"/>
  <c r="G3" i="1" s="1"/>
  <c r="F3" i="1" a="1"/>
  <c r="F3" i="1" s="1"/>
  <c r="J2" i="1" a="1"/>
  <c r="J2" i="1" s="1"/>
  <c r="K2" i="1" s="1"/>
  <c r="G2" i="1" a="1"/>
  <c r="G2" i="1" s="1"/>
  <c r="F2" i="1" a="1"/>
  <c r="F2" i="1" s="1"/>
  <c r="P5" i="1" l="1"/>
  <c r="Q5" i="1" s="1"/>
  <c r="P8" i="1"/>
  <c r="Q8" i="1" s="1"/>
  <c r="P9" i="1"/>
  <c r="Q9" i="1" s="1"/>
  <c r="P6" i="1"/>
  <c r="Q6" i="1" s="1"/>
  <c r="P10" i="1"/>
  <c r="Q10" i="1" s="1"/>
  <c r="P7" i="1"/>
  <c r="Q7" i="1" s="1"/>
  <c r="P11" i="1"/>
  <c r="Q11" i="1" s="1"/>
  <c r="P17" i="1"/>
  <c r="Q17" i="1" s="1"/>
  <c r="P22" i="1"/>
  <c r="Q22" i="1" s="1"/>
  <c r="P14" i="1"/>
  <c r="Q14" i="1" s="1"/>
  <c r="P19" i="1"/>
  <c r="Q19" i="1" s="1"/>
  <c r="P15" i="1"/>
  <c r="Q15" i="1" s="1"/>
  <c r="P20" i="1"/>
  <c r="Q20" i="1" s="1"/>
  <c r="P16" i="1"/>
  <c r="Q16" i="1" s="1"/>
  <c r="P21" i="1"/>
  <c r="Q21" i="1" s="1"/>
  <c r="P18" i="1"/>
  <c r="Q18" i="1" s="1"/>
  <c r="P23" i="1"/>
  <c r="Q23" i="1" s="1"/>
  <c r="L2" i="1"/>
  <c r="P2" i="1" s="1"/>
  <c r="Q2" i="1" s="1"/>
  <c r="L4" i="1"/>
  <c r="P4" i="1" s="1"/>
  <c r="Q4" i="1" s="1"/>
  <c r="L3" i="1"/>
  <c r="P3" i="1" s="1"/>
  <c r="Q3"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<sst xmlns="http://schemas.openxmlformats.org/spreadsheetml/2006/main" count="242" uniqueCount="166">
  <si>
    <t>Bullet</t>
  </si>
  <si>
    <t>K_hit</t>
  </si>
  <si>
    <t>K_Ap</t>
  </si>
  <si>
    <t>Ammo</t>
  </si>
  <si>
    <t>k_hit</t>
  </si>
  <si>
    <t>Armor_BR</t>
  </si>
  <si>
    <t>Plate</t>
  </si>
  <si>
    <t>Plate_BR</t>
  </si>
  <si>
    <t>ArtProt</t>
  </si>
  <si>
    <t>Limb</t>
  </si>
  <si>
    <t>Limb_Mul</t>
  </si>
  <si>
    <t>btk</t>
  </si>
  <si>
    <t>ammo_9x18_fmj</t>
  </si>
  <si>
    <t>ammo_7.62x25_p</t>
  </si>
  <si>
    <t>none</t>
  </si>
  <si>
    <t>torso</t>
  </si>
  <si>
    <t>ammo_7.62x25_ps</t>
  </si>
  <si>
    <t>ammo_9x39_pab9</t>
  </si>
  <si>
    <t>ammo_9x18_fmj_bad</t>
  </si>
  <si>
    <t>ammo_9x18_fmj_verybad</t>
  </si>
  <si>
    <t>ammo_9x18_pmm</t>
  </si>
  <si>
    <t>ammo_9x18_pmm_bad</t>
  </si>
  <si>
    <t>ammo_9x18_pmm_verybad</t>
  </si>
  <si>
    <t>ammo_9x18_ap</t>
  </si>
  <si>
    <t>ammo_9x18_ap_bad</t>
  </si>
  <si>
    <t>ammo_9x18_ap_verybad</t>
  </si>
  <si>
    <t>ammo_9x19_fmj</t>
  </si>
  <si>
    <t>ammo_9x19_fmj_bad</t>
  </si>
  <si>
    <t>ammo_9x19_fmj_verybad</t>
  </si>
  <si>
    <t>ammo_9x19_pbp</t>
  </si>
  <si>
    <t>ammo_5.56x45_fmj</t>
  </si>
  <si>
    <t>ammo_9x39_ap</t>
  </si>
  <si>
    <t>ammo_9x19_pbp_bad</t>
  </si>
  <si>
    <t>ammo_7.62x51_fmj</t>
  </si>
  <si>
    <t>ammo_9x19_pbp_verybad</t>
  </si>
  <si>
    <t>ammo_9x19_ap</t>
  </si>
  <si>
    <t>ammo_9x19_ap_bad</t>
  </si>
  <si>
    <t>ammo_9x19_ap_verybad</t>
  </si>
  <si>
    <t>ammo_5.7x28_ss190</t>
  </si>
  <si>
    <t>ammo_5.7x28_ss190_bad</t>
  </si>
  <si>
    <t>ammo_5.7x28_ss190_verybad</t>
  </si>
  <si>
    <t>ammo_5.7x28_ss195</t>
  </si>
  <si>
    <t>ammo_5.7x28_ss195_bad</t>
  </si>
  <si>
    <t>ammo_5.7x28_ss195_verybad</t>
  </si>
  <si>
    <t>ammo_5.45x39_fmj</t>
  </si>
  <si>
    <t>ammo_5.45x39_ap</t>
  </si>
  <si>
    <t>ammo_7.62x25_p_bad</t>
  </si>
  <si>
    <t>ammo_7.62x25_p_verybad</t>
  </si>
  <si>
    <t>ammo_7.62x25_ps_bad</t>
  </si>
  <si>
    <t>ammo_7.62x25_ps_verybad</t>
  </si>
  <si>
    <t>ammo_11.43x23_fmj</t>
  </si>
  <si>
    <t>ammo_11.43x23_fmj_bad</t>
  </si>
  <si>
    <t>ammo_11.43x23_fmj_verybad</t>
  </si>
  <si>
    <t>ammo_11.43x23_hydro</t>
  </si>
  <si>
    <t>ammo_11.43x23_hydro_bad</t>
  </si>
  <si>
    <t>ammo_11.43x23_hydro_verybad</t>
  </si>
  <si>
    <t>ammo_338_federal</t>
  </si>
  <si>
    <t>ammo_magnum_300</t>
  </si>
  <si>
    <t>ammo_7.62x51_ap</t>
  </si>
  <si>
    <t>ammo_5.45x39_fmj_bad</t>
  </si>
  <si>
    <t>ammo_5.45x39_fmj_verybad</t>
  </si>
  <si>
    <t>ammo_5.45x39_ep</t>
  </si>
  <si>
    <t>ammo_5.45x39_ep_bad</t>
  </si>
  <si>
    <t>ammo_5.45x39_ep_verybad</t>
  </si>
  <si>
    <t>ammo_5.45x39_ap_bad</t>
  </si>
  <si>
    <t>ammo_5.45x39_ap_verybad</t>
  </si>
  <si>
    <t>ammo_5.56x45_fmj_bad</t>
  </si>
  <si>
    <t>ammo_5.56x45_fmj_verybad</t>
  </si>
  <si>
    <t>Bdy_Part</t>
  </si>
  <si>
    <t>Lmb_Mul</t>
  </si>
  <si>
    <t>ammo_5.56x45_ss190</t>
  </si>
  <si>
    <t>head</t>
  </si>
  <si>
    <t>ammo_5.56x45_ss190_bad</t>
  </si>
  <si>
    <t>af_kev</t>
  </si>
  <si>
    <t>ammo_5.56x45_ss190_verybad</t>
  </si>
  <si>
    <t>af_kev_up</t>
  </si>
  <si>
    <t>limbs</t>
  </si>
  <si>
    <t>ammo_5.56x45_ap</t>
  </si>
  <si>
    <t>af_plt</t>
  </si>
  <si>
    <t>ammo_5.56x45_ap_bad</t>
  </si>
  <si>
    <t>af_plt_up</t>
  </si>
  <si>
    <t>ammo_5.56x45_ap_verybad</t>
  </si>
  <si>
    <t>ammo_9x39_pab9_bad</t>
  </si>
  <si>
    <t>ammo_9x39_pab9_verybad</t>
  </si>
  <si>
    <t>ammo_9x39_ap_bad</t>
  </si>
  <si>
    <t>ammo_9x39_ap_verybad</t>
  </si>
  <si>
    <t>ammo_12x70_buck</t>
  </si>
  <si>
    <t>ammo_12x70_buck_bad</t>
  </si>
  <si>
    <t>ammo_12x70_buck_verybad</t>
  </si>
  <si>
    <t>ammo_12x76_zhekan</t>
  </si>
  <si>
    <t>ammo_12x76_zhekan_bad</t>
  </si>
  <si>
    <t>ammo_12x76_zhekan_verybad</t>
  </si>
  <si>
    <t>ammo_12x70_buck_self</t>
  </si>
  <si>
    <t>ammo_12x76_bull</t>
  </si>
  <si>
    <t>ammo_12x76_dart</t>
  </si>
  <si>
    <t>ammo_12x76_dart_bad</t>
  </si>
  <si>
    <t>ammo_12x76_dart_verybad</t>
  </si>
  <si>
    <t>ammo_12x76_zhekan_heli</t>
  </si>
  <si>
    <t>ammo_7.62x39_fmj</t>
  </si>
  <si>
    <t>ammo_7.62x39_fmj_bad</t>
  </si>
  <si>
    <t>ammo_7.62x39_fmj_verybad</t>
  </si>
  <si>
    <t>ammo_7.62x39_ap</t>
  </si>
  <si>
    <t>ammo_7.62x39_ap_bad</t>
  </si>
  <si>
    <t>ammo_7.62x39_ap_verybad</t>
  </si>
  <si>
    <t>ammo_7.92x33_fmj</t>
  </si>
  <si>
    <t>ammo_7.92x33_fmj_bad</t>
  </si>
  <si>
    <t>ammo_7.92x33_fmj_verybad</t>
  </si>
  <si>
    <t>ammo_7.92x33_ap</t>
  </si>
  <si>
    <t>ammo_7.92x33_ap_bad</t>
  </si>
  <si>
    <t>ammo_7.92x33_ap_verybad</t>
  </si>
  <si>
    <t>ammo_7.62x51_fmj_bad</t>
  </si>
  <si>
    <t>ammo_7.62x51_fmj_verybad</t>
  </si>
  <si>
    <t>ammo_7.62x51_ap_bad</t>
  </si>
  <si>
    <t>ammo_7.62x51_ap_verybad</t>
  </si>
  <si>
    <t>ammo_pkm_100</t>
  </si>
  <si>
    <t>ammo_pkm_100_bad</t>
  </si>
  <si>
    <t>ammo_pkm_100_verybad</t>
  </si>
  <si>
    <t>ammo_7.62x54_7h1</t>
  </si>
  <si>
    <t>ammo_7.62x54_7h1_bad</t>
  </si>
  <si>
    <t>ammo_7.62x54_7h1_verybad</t>
  </si>
  <si>
    <t>ammo_7.62x54_ap</t>
  </si>
  <si>
    <t>ammo_7.62x54_ap_bad</t>
  </si>
  <si>
    <t>ammo_7.62x54_ap_verybad</t>
  </si>
  <si>
    <t>ammo_4.6x30_fmj</t>
  </si>
  <si>
    <t>ammo_4.6x30_fmj_bad</t>
  </si>
  <si>
    <t>ammo_4.6x30_fmj_verybad</t>
  </si>
  <si>
    <t>ammo_7.62x54_7h14</t>
  </si>
  <si>
    <t>ammo_7.62x54_7h14_bad</t>
  </si>
  <si>
    <t>ammo_7.62x54_7h14_verybad</t>
  </si>
  <si>
    <t>ammo_12.7x55_fmj</t>
  </si>
  <si>
    <t>ammo_12.7x55_fmj_bad</t>
  </si>
  <si>
    <t>ammo_12.7x55_fmj_verybad</t>
  </si>
  <si>
    <t>ammo_12.7x55_ap</t>
  </si>
  <si>
    <t>ammo_12.7x55_ap_bad</t>
  </si>
  <si>
    <t>ammo_12.7x55_ap_verybad</t>
  </si>
  <si>
    <t>ammo_magnum_300_bad</t>
  </si>
  <si>
    <t>ammo_magnum_300_verybad</t>
  </si>
  <si>
    <t>ammo_357_hp_mag</t>
  </si>
  <si>
    <t>ammo_357_hp_mag_bad</t>
  </si>
  <si>
    <t>ammo_357_hp_mag_verybad</t>
  </si>
  <si>
    <t>ammo_50_bmg</t>
  </si>
  <si>
    <t>ammo_50_bmg_bad</t>
  </si>
  <si>
    <t>ammo_50_bmg_verybad</t>
  </si>
  <si>
    <t>ammo_vog-25</t>
  </si>
  <si>
    <t>ammo_vog-25_bad</t>
  </si>
  <si>
    <t>ammo_vog-25_verybad</t>
  </si>
  <si>
    <t>ammo_m209</t>
  </si>
  <si>
    <t>ammo_m209_bad</t>
  </si>
  <si>
    <t>ammo_m209_verybad</t>
  </si>
  <si>
    <t>ammo_og-7b</t>
  </si>
  <si>
    <t>ammo_og-7b_bad</t>
  </si>
  <si>
    <t>ammo_og-7b_verybad</t>
  </si>
  <si>
    <t>ammo_gauss</t>
  </si>
  <si>
    <t>ammo_gauss_bad</t>
  </si>
  <si>
    <t>ammo_gauss_verybad</t>
  </si>
  <si>
    <t>ammo_23x75_barrikada</t>
  </si>
  <si>
    <t>ammo_23x75_shrapnel</t>
  </si>
  <si>
    <t>ammo_20x70_buck</t>
  </si>
  <si>
    <t>ammo_9x21_sp10</t>
  </si>
  <si>
    <t>Pen_Ratio</t>
  </si>
  <si>
    <t>Damage</t>
  </si>
  <si>
    <t>Final_BR</t>
  </si>
  <si>
    <t>Legend</t>
  </si>
  <si>
    <r>
      <rPr>
        <b/>
        <sz val="11"/>
        <color theme="1"/>
        <rFont val="Aptos Narrow"/>
        <family val="2"/>
        <scheme val="minor"/>
      </rPr>
      <t>Ammo</t>
    </r>
    <r>
      <rPr>
        <sz val="11"/>
        <color theme="1"/>
        <rFont val="Aptos Narrow"/>
        <family val="2"/>
        <scheme val="minor"/>
      </rPr>
      <t xml:space="preserve"> - Bullet to calculate damage on, the name matches the ingame item ID.
</t>
    </r>
    <r>
      <rPr>
        <b/>
        <sz val="11"/>
        <color theme="1"/>
        <rFont val="Aptos Narrow"/>
        <family val="2"/>
        <scheme val="minor"/>
      </rPr>
      <t>K_hit</t>
    </r>
    <r>
      <rPr>
        <sz val="11"/>
        <color theme="1"/>
        <rFont val="Aptos Narrow"/>
        <family val="2"/>
        <scheme val="minor"/>
      </rPr>
      <t xml:space="preserve"> - this is an ammo parameter determing the damage from the bullet ONLY. This setup currently isn't factoring any hit_power from weapons that isn't 1.
</t>
    </r>
    <r>
      <rPr>
        <b/>
        <sz val="11"/>
        <color theme="1"/>
        <rFont val="Aptos Narrow"/>
        <family val="2"/>
        <scheme val="minor"/>
      </rPr>
      <t>K_Ap</t>
    </r>
    <r>
      <rPr>
        <sz val="11"/>
        <color theme="1"/>
        <rFont val="Aptos Narrow"/>
        <family val="2"/>
        <scheme val="minor"/>
      </rPr>
      <t xml:space="preserve"> - This is an ammo parameter determining armor penetration.
</t>
    </r>
    <r>
      <rPr>
        <b/>
        <sz val="11"/>
        <color theme="1"/>
        <rFont val="Aptos Narrow"/>
        <family val="2"/>
        <scheme val="minor"/>
      </rPr>
      <t>Armor_BR</t>
    </r>
    <r>
      <rPr>
        <sz val="11"/>
        <color theme="1"/>
        <rFont val="Aptos Narrow"/>
        <family val="2"/>
        <scheme val="minor"/>
      </rPr>
      <t xml:space="preserve"> - this is the armor BR class, Standard values: light 0.01-0.2, medium 0.3-0.5, heavy 0.6-0.9
</t>
    </r>
    <r>
      <rPr>
        <b/>
        <sz val="11"/>
        <color theme="1"/>
        <rFont val="Aptos Narrow"/>
        <family val="2"/>
        <scheme val="minor"/>
      </rPr>
      <t>Plate</t>
    </r>
    <r>
      <rPr>
        <sz val="11"/>
        <color theme="1"/>
        <rFont val="Aptos Narrow"/>
        <family val="2"/>
        <scheme val="minor"/>
      </rPr>
      <t xml:space="preserve"> - this is the armor plates that go in belt slots. These only apply to the torso.
</t>
    </r>
    <r>
      <rPr>
        <b/>
        <sz val="11"/>
        <color theme="1"/>
        <rFont val="Aptos Narrow"/>
        <family val="2"/>
        <scheme val="minor"/>
      </rPr>
      <t>Plate_BR</t>
    </r>
    <r>
      <rPr>
        <sz val="11"/>
        <color theme="1"/>
        <rFont val="Aptos Narrow"/>
        <family val="2"/>
        <scheme val="minor"/>
      </rPr>
      <t xml:space="preserve"> - this is the BR the plate provides, it can be configured in the plate table.
</t>
    </r>
    <r>
      <rPr>
        <b/>
        <sz val="11"/>
        <color theme="1"/>
        <rFont val="Aptos Narrow"/>
        <family val="2"/>
        <scheme val="minor"/>
      </rPr>
      <t>Final_BR</t>
    </r>
    <r>
      <rPr>
        <sz val="11"/>
        <color theme="1"/>
        <rFont val="Aptos Narrow"/>
        <family val="2"/>
        <scheme val="minor"/>
      </rPr>
      <t xml:space="preserve"> - this is your armor_BR+plate_BR if torso limb is selected. This will default to your Armor_BR only if you select head/limbs.
</t>
    </r>
    <r>
      <rPr>
        <b/>
        <sz val="11"/>
        <color theme="1"/>
        <rFont val="Aptos Narrow"/>
        <family val="2"/>
        <scheme val="minor"/>
      </rPr>
      <t>Pen_Ratio</t>
    </r>
    <r>
      <rPr>
        <sz val="11"/>
        <color theme="1"/>
        <rFont val="Aptos Narrow"/>
        <family val="2"/>
        <scheme val="minor"/>
      </rPr>
      <t xml:space="preserve"> - this is the AP multipler used against damage based upon the ammos AP vs the BR of your armor. It will never exceed 1 if your pen is higher than the BR, otherwise it would increase damage.
</t>
    </r>
    <r>
      <rPr>
        <b/>
        <sz val="11"/>
        <color theme="1"/>
        <rFont val="Aptos Narrow"/>
        <family val="2"/>
        <scheme val="minor"/>
      </rPr>
      <t>ArtProt</t>
    </r>
    <r>
      <rPr>
        <sz val="11"/>
        <color theme="1"/>
        <rFont val="Aptos Narrow"/>
        <family val="2"/>
        <scheme val="minor"/>
      </rPr>
      <t xml:space="preserve"> - this is Bullet Resistance supplied from any artifacts/pelts. This value is the total percentage found on the bottom of the ingame UI.
</t>
    </r>
    <r>
      <rPr>
        <b/>
        <sz val="11"/>
        <color theme="1"/>
        <rFont val="Aptos Narrow"/>
        <family val="2"/>
        <scheme val="minor"/>
      </rPr>
      <t>Limb_Mul</t>
    </r>
    <r>
      <rPr>
        <sz val="11"/>
        <color theme="1"/>
        <rFont val="Aptos Narrow"/>
        <family val="2"/>
        <scheme val="minor"/>
      </rPr>
      <t xml:space="preserve"> - the limb damage multiplier, against NPC the standard is 2.0 for head, 1.0 for torso, and 0.7 for limbs.
</t>
    </r>
    <r>
      <rPr>
        <b/>
        <sz val="11"/>
        <color theme="1"/>
        <rFont val="Aptos Narrow"/>
        <family val="2"/>
        <scheme val="minor"/>
      </rPr>
      <t xml:space="preserve">Damage </t>
    </r>
    <r>
      <rPr>
        <sz val="11"/>
        <color theme="1"/>
        <rFont val="Aptos Narrow"/>
        <family val="2"/>
        <scheme val="minor"/>
      </rPr>
      <t xml:space="preserve">- the calculated damage with all provided data.
</t>
    </r>
    <r>
      <rPr>
        <b/>
        <sz val="11"/>
        <color theme="1"/>
        <rFont val="Aptos Narrow"/>
        <family val="2"/>
        <scheme val="minor"/>
      </rPr>
      <t xml:space="preserve">BTK </t>
    </r>
    <r>
      <rPr>
        <sz val="11"/>
        <color theme="1"/>
        <rFont val="Aptos Narrow"/>
        <family val="2"/>
        <scheme val="minor"/>
      </rPr>
      <t>- Bullets to Kill, the total number of bullets to kill a target assuming all hits land on the same body part and it doesn't heal itself.
Overview: This calculation is based on the damage rework I made for Stalker Anomaly GAMMA that can be found at either link below. This simplifies the calculation overall, and applies to both damage to player, and damage to NPCs from the player.
Mike O'brien</t>
    </r>
  </si>
  <si>
    <t>ModDB Link</t>
  </si>
  <si>
    <t>GitHub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</si>
</sst>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rgb="FF92D05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27">
    <xf numFmtId="0" fontId="0" fillId="0" borderId="0" xfId="0"/>
    <xf numFmtId="164" fontId="0" fillId="0" borderId="0" xfId="0" applyNumberFormat="1"/>
    <xf numFmtId="2" fontId="0" fillId="0" borderId="0" xfId="0" applyNumberFormat="1"/>
    <xf numFmtId="0" fontId="0" fillId="0" borderId="0" xfId="0" applyFill="1"/>
    <xf numFmtId="164" fontId="0" fillId="0" borderId="0" xfId="0" applyNumberFormat="1" applyFill="1"/>
    <xf numFmtId="2" fontId="0" fillId="0" borderId="0" xfId="0" applyNumberFormat="1" applyFill="1"/>
    <xf numFmtId="0" fontId="0" fillId="0" borderId="0" xfId="0" applyFill="1" applyBorder="1"/>
    <xf numFmtId="0" fontId="0" fillId="0" borderId="0" xfId="0" applyFill="1" applyBorder="1" applyAlignment="1">
      <alignment horizontal="center"/>
    </xf>
    <xf numFmtId="0" fontId="0" fillId="0" borderId="0" xfId="0" applyNumberFormat="1"/>
    <xf numFmtId="0" fontId="0" fillId="0" borderId="0" xfId="0" applyNumberFormat="1" applyFill="1"/>
    <xf numFmtId="0" fontId="0" fillId="0" borderId="0" xfId="0" applyNumberFormat="1" applyFill="1" applyBorder="1"/>
    <xf numFmtId="1" fontId="0" fillId="0" borderId="0" xfId="0" applyNumberFormat="1"/>
    <xf numFmtId="165" fontId="0" fillId="0" borderId="0" xfId="0" applyNumberFormat="1"/>
    <xf numFmtId="9" fontId="0" fillId="0" borderId="0" xfId="1" applyFont="1"/>
    <xf numFmtId="0" fontId="0" fillId="0" borderId="1" xfId="0" applyBorder="1" applyAlignment="1">
      <alignment horizontal="left" vertical="top"/>
    </xf>
    <xf numFmtId="0" fontId="3" fillId="0" borderId="0" xfId="2"/>
    <xf numFmtId="0" fontId="0" fillId="0" borderId="3" xfId="0" applyBorder="1" applyAlignment="1">
      <alignment horizontal="left" vertical="top"/>
    </xf>
    <xf numFmtId="0" fontId="0" fillId="0" borderId="2" xfId="0" applyBorder="1" applyAlignment="1">
      <alignment horizontal="left" vertical="top"/>
    </xf>
    <xf numFmtId="0" fontId="0" fillId="0" borderId="4" xfId="0" applyBorder="1" applyAlignment="1">
      <alignment horizontal="left" vertical="top"/>
    </xf>
    <xf numFmtId="0" fontId="0" fillId="0" borderId="5" xfId="0" applyBorder="1"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wrapText="1"/>
    </xf>
    <xf numFmtId="0" fontId="0" fillId="0" borderId="8" xfId="0" applyBorder="1" applyAlignment="1">
      <alignment horizontal="left" vertical="top"/>
    </xf>
    <xf numFmtId="0" fontId="0" fillId="0" borderId="9" xfId="0" applyBorder="1" applyAlignment="1">
      <alignment horizontal="left" vertical="top"/>
    </xf>
    <xf numFmtId="0" fontId="2" fillId="2" borderId="10" xfId="0" applyFont="1" applyFill="1" applyBorder="1" applyAlignment="1">
      <alignment horizontal="center"/>
    </xf>
    <xf numFmtId="0" fontId="2" fillId="2" borderId="11" xfId="0" applyFont="1" applyFill="1" applyBorder="1" applyAlignment="1">
      <alignment horizontal="center"/>
    </xf>
    <xf numFmtId="0" fontId="2" fillId="2" borderId="12" xfId="0" applyFont="1" applyFill="1" applyBorder="1" applyAlignment="1">
      <alignment horizontal="center"/>
    </xf>
  </cellXfs>
  <cellStyles count="3">
    <cellStyle name="Hyperlink" xfId="2" builtinId="8"/>
    <cellStyle name="Normal" xfId="0" builtinId="0"/>
    <cellStyle name="Percent" xfId="1" builtinId="5"/>
  </cellStyles>
  <dxfs count="14">
    <dxf>
      <numFmt numFmtId="165" formatCode="0.0"/>
    </dxf>
    <dxf>
      <numFmt numFmtId="164" formatCode="0.000"/>
    </dxf>
    <dxf>
      <numFmt numFmtId="0" formatCode="General"/>
    </dxf>
    <dxf>
      <numFmt numFmtId="2" formatCode="0.00"/>
    </dxf>
    <dxf>
      <numFmt numFmtId="164" formatCode="0.000"/>
    </dxf>
    <dxf>
      <numFmt numFmtId="164" formatCode="0.000"/>
    </dxf>
    <dxf>
      <numFmt numFmtId="0" formatCode="General"/>
    </dxf>
    <dxf>
      <numFmt numFmtId="164" formatCode="0.000"/>
    </dxf>
    <dxf>
      <numFmt numFmtId="164" formatCode="0.000"/>
    </dxf>
    <dxf>
      <numFmt numFmtId="0" formatCode="General"/>
    </dxf>
    <dxf>
      <numFmt numFmtId="164" formatCode="0.000"/>
    </dxf>
    <dxf>
      <numFmt numFmtId="164" formatCode="0.000"/>
    </dxf>
    <dxf>
      <numFmt numFmtId="0" formatCode="General"/>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055F9B-6E73-4558-9934-F5B5DE1831A4}" name="Table13" displayName="Table13" ref="A1:C138" totalsRowShown="0">
  <autoFilter ref="A1:C138" xr:uid="{40DE91B7-06A8-4969-BCD8-AE259DF482EB}"/>
  <tableColumns count="3">
    <tableColumn id="1" xr3:uid="{36C04FEB-28CE-4373-86E8-EB25F2050AB6}" name="Bullet"/>
    <tableColumn id="2" xr3:uid="{3FE5FA96-EA2C-4E54-8D07-EE101747401B}" name="K_hit"/>
    <tableColumn id="3" xr3:uid="{18174CEA-6811-4077-B14E-AC22815ECABD}" name="K_Ap"/>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64ABD89-FA6E-4F2D-B300-3CAE9BEEBCBA}" name="Table14" displayName="Table14" ref="H26:I29" totalsRowShown="0">
  <autoFilter ref="H26:I29" xr:uid="{006C67A7-EEA9-4271-98D0-1991C674643A}"/>
  <tableColumns count="2">
    <tableColumn id="1" xr3:uid="{D10DD7DF-5927-4A27-8492-B038962AD203}" name="Bdy_Part"/>
    <tableColumn id="2" xr3:uid="{E2DDEE40-592C-4DBE-BDED-32D4505FBFAC}" name="Lmb_Mu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00D8238-71C3-44AD-9FBC-208AA60D774C}" name="Table15" displayName="Table15" ref="E26:F31" totalsRowShown="0">
  <autoFilter ref="E26:F31" xr:uid="{A66454DE-3F4D-4263-90BB-E6B18D11774C}"/>
  <tableColumns count="2">
    <tableColumn id="1" xr3:uid="{E69F844B-1CDD-47DB-9984-DC205ED66386}" name="Plate"/>
    <tableColumn id="2" xr3:uid="{4D78F8A4-CBCA-4691-BA96-7D2AEDCD0A7F}" name="Plate_B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C4B7DF5-6EC9-4DAA-8736-625FC9CEDFD5}" name="Table16" displayName="Table16" ref="E1:Q11" totalsRowShown="0">
  <autoFilter ref="E1:Q11" xr:uid="{1E1B6C50-4D3B-41E9-A28F-FF068A2F68D3}"/>
  <tableColumns count="13">
    <tableColumn id="1" xr3:uid="{6636BB5B-7239-4D0C-8EDC-A22BC067354D}" name="Ammo"/>
    <tableColumn id="2" xr3:uid="{2829FEB2-6299-40E3-887D-749B39C60975}" name="k_hit">
      <calculatedColumnFormula array="1">_xlfn.XLOOKUP(E2, Table13[[#All],[Bullet]], Table13[[#All],[K_hit]], nil)</calculatedColumnFormula>
    </tableColumn>
    <tableColumn id="3" xr3:uid="{137A519A-DE2A-4E38-BC31-09E77D01DD06}" name="K_Ap">
      <calculatedColumnFormula array="1">_xlfn.XLOOKUP(E2, Table13[[#All],[Bullet]], Table13[[#All],[K_Ap]], nil)</calculatedColumnFormula>
    </tableColumn>
    <tableColumn id="4" xr3:uid="{4A947395-3733-4AC5-9535-356C4C361FD3}" name="Armor_BR"/>
    <tableColumn id="5" xr3:uid="{7C8ED282-F2DB-4EE5-83D6-FBD802C9D7BC}" name="Plate"/>
    <tableColumn id="6" xr3:uid="{B76C0D3A-46C3-4D7A-A6AE-2E713C74DBB9}" name="Plate_BR" dataDxfId="12">
      <calculatedColumnFormula array="1">_xlfn.XLOOKUP(I2, Table15[[#All],[Plate]], Table15[[#All],[Plate_BR]])</calculatedColumnFormula>
    </tableColumn>
    <tableColumn id="7" xr3:uid="{8CF3F69F-6348-4E77-B8F5-D1F79D60F9ED}" name="Final_BR" dataDxfId="11"/>
    <tableColumn id="16" xr3:uid="{2BC57748-3168-48A5-9DCF-1B7079F6F5A1}" name="Pen_Ratio" dataDxfId="10"/>
    <tableColumn id="8" xr3:uid="{8FF924E3-43C1-4622-8237-4653D24EF385}" name="ArtProt" dataCellStyle="Percent"/>
    <tableColumn id="9" xr3:uid="{18FFDC3F-7E11-495C-A9C3-7EC21DEC4BD9}" name="Limb" dataDxfId="2"/>
    <tableColumn id="10" xr3:uid="{442F9F2D-56D9-4ABA-9A1D-3581230C3D4E}" name="Limb_Mul" dataDxfId="0"/>
    <tableColumn id="14" xr3:uid="{AD8A39DF-E3D4-41B8-862C-0B423380327D}" name="Damage" dataDxfId="1"/>
    <tableColumn id="12" xr3:uid="{442A7D1F-722E-42E9-8BC2-44DBE9AAF735}" name="btk" dataDxfId="1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47D6412-4C66-4109-AFAD-B5597485C739}" name="Table1617" displayName="Table1617" ref="E13:Q23" totalsRowShown="0">
  <autoFilter ref="E13:Q23" xr:uid="{447D6412-4C66-4109-AFAD-B5597485C739}"/>
  <tableColumns count="13">
    <tableColumn id="1" xr3:uid="{EE38988D-21C7-4434-9C1B-7D09C35F17B1}" name="Ammo"/>
    <tableColumn id="2" xr3:uid="{8A95568D-5ED9-4C75-95E4-5ADCF7C46070}" name="k_hit">
      <calculatedColumnFormula array="1">_xlfn.XLOOKUP(E14, Table13[[#All],[Bullet]], Table13[[#All],[K_hit]], nil)</calculatedColumnFormula>
    </tableColumn>
    <tableColumn id="3" xr3:uid="{EFF616EA-3183-44A1-8A3E-A3F833B70E42}" name="K_Ap">
      <calculatedColumnFormula array="1">_xlfn.XLOOKUP(E14, Table13[[#All],[Bullet]], Table13[[#All],[K_Ap]], nil)</calculatedColumnFormula>
    </tableColumn>
    <tableColumn id="4" xr3:uid="{42611E3A-6B41-4C40-8F15-1C56E55E2324}" name="Armor_BR"/>
    <tableColumn id="5" xr3:uid="{3D74E0DE-D815-4493-A71F-8F311414AD32}" name="Plate"/>
    <tableColumn id="6" xr3:uid="{F59C6014-5D2E-452C-BD50-BC192013D43B}" name="Plate_BR" dataDxfId="9">
      <calculatedColumnFormula array="1">_xlfn.XLOOKUP(I14, Table15[[#All],[Plate]], Table15[[#All],[Plate_BR]])</calculatedColumnFormula>
    </tableColumn>
    <tableColumn id="7" xr3:uid="{873670D2-C1F1-4C41-B2AD-F5F559ED9391}" name="Final_BR" dataDxfId="8">
      <calculatedColumnFormula>IF(N14="torso", H14+J14, H14)</calculatedColumnFormula>
    </tableColumn>
    <tableColumn id="16" xr3:uid="{FF6ED786-8D51-4E21-A1A0-2CEF05EAA44A}" name="Pen_Ratio" dataDxfId="7">
      <calculatedColumnFormula>IF(G14/K14&gt;1, 1, G14/K14)</calculatedColumnFormula>
    </tableColumn>
    <tableColumn id="8" xr3:uid="{271C9493-8881-4B1A-89CD-0E03041ACCD9}" name="ArtProt" dataCellStyle="Percent"/>
    <tableColumn id="9" xr3:uid="{3D608E3C-B4DB-467C-BD3F-A7845460081D}" name="Limb" dataDxfId="6"/>
    <tableColumn id="10" xr3:uid="{281A44FA-BC99-4BEF-9518-ED3409A29924}" name="Limb_Mul" dataDxfId="5">
      <calculatedColumnFormula array="1">_xlfn.XLOOKUP(Table1617[[#This Row],[Limb]], Table14[[#All],[Bdy_Part]], Table14[[#All],[Lmb_Mul]])</calculatedColumnFormula>
    </tableColumn>
    <tableColumn id="14" xr3:uid="{F93D5A0C-334B-4ED4-A4C7-E83A26059434}" name="Damage" dataDxfId="4">
      <calculatedColumnFormula>SUM(((F14*L14)*(1-M14))*O14)</calculatedColumnFormula>
    </tableColumn>
    <tableColumn id="12" xr3:uid="{2E8B6CEE-2334-4867-9A6D-DC2D675B257F}" name="btk" dataDxfId="3">
      <calculatedColumnFormula>ROUNDUP(1/P14,0)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5.xml"/><Relationship Id="rId3" Type="http://schemas.openxmlformats.org/officeDocument/2006/relationships/printerSettings" Target="../printerSettings/printerSettings1.bin"/><Relationship Id="rId7" Type="http://schemas.openxmlformats.org/officeDocument/2006/relationships/table" Target="../tables/table4.xml"/><Relationship Id="rId2" Type="http://schemas.openxmlformats.org/officeDocument/2006/relationships/hyperlink" Target="https://github.com/mike0brien/Obrien-s-GAMMA-Damage-and-Recoil-Rework" TargetMode="External"/><Relationship Id="rId1" Type="http://schemas.openxmlformats.org/officeDocument/2006/relationships/hyperlink" Target="https://www.moddb.com/mods/stalker-anomaly/addons/obrien-gamma-combat-and-recoil-rework" TargetMode="External"/><Relationship Id="rId6" Type="http://schemas.openxmlformats.org/officeDocument/2006/relationships/table" Target="../tables/table3.xml"/><Relationship Id="rId5" Type="http://schemas.openxmlformats.org/officeDocument/2006/relationships/table" Target="../tables/table2.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DC999-13C9-4623-9602-8169C2AB1714}">
  <dimension ref="A1:BA138"/>
  <sheetViews>
    <sheetView tabSelected="1" zoomScaleNormal="100" workbookViewId="0">
      <selection activeCell="P59" sqref="P59"/>
    </sheetView>
  </sheetViews>
  <sheetFormatPr defaultRowHeight="15" x14ac:dyDescent="0.25"/>
  <cols>
    <col min="1" max="1" width="25.7109375" customWidth="1"/>
    <col min="5" max="5" width="25.7109375" customWidth="1"/>
    <col min="6" max="6" width="11" customWidth="1"/>
    <col min="8" max="8" width="11.85546875" customWidth="1"/>
    <col min="9" max="9" width="11.140625" customWidth="1"/>
    <col min="10" max="10" width="11" customWidth="1"/>
    <col min="11" max="12" width="12.7109375" customWidth="1"/>
    <col min="13" max="13" width="11.7109375" customWidth="1"/>
    <col min="14" max="14" width="10.42578125" customWidth="1"/>
    <col min="15" max="15" width="12.7109375" customWidth="1"/>
    <col min="16" max="16" width="10.5703125" customWidth="1"/>
    <col min="21" max="21" width="18.28515625" customWidth="1"/>
    <col min="36" max="36" width="15.7109375" customWidth="1"/>
  </cols>
  <sheetData>
    <row r="1" spans="1:53" x14ac:dyDescent="0.25">
      <c r="A1" t="s">
        <v>0</v>
      </c>
      <c r="B1" t="s">
        <v>1</v>
      </c>
      <c r="C1" t="s">
        <v>2</v>
      </c>
      <c r="E1" t="s">
        <v>3</v>
      </c>
      <c r="F1" t="s">
        <v>4</v>
      </c>
      <c r="G1" t="s">
        <v>2</v>
      </c>
      <c r="H1" t="s">
        <v>5</v>
      </c>
      <c r="I1" t="s">
        <v>6</v>
      </c>
      <c r="J1" t="s">
        <v>7</v>
      </c>
      <c r="K1" t="s">
        <v>161</v>
      </c>
      <c r="L1" t="s">
        <v>159</v>
      </c>
      <c r="M1" t="s">
        <v>8</v>
      </c>
      <c r="N1" t="s">
        <v>9</v>
      </c>
      <c r="O1" t="s">
        <v>10</v>
      </c>
      <c r="P1" t="s">
        <v>160</v>
      </c>
      <c r="Q1" t="s">
        <v>11</v>
      </c>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row>
    <row r="2" spans="1:53" x14ac:dyDescent="0.25">
      <c r="A2" t="s">
        <v>12</v>
      </c>
      <c r="B2">
        <v>0.3</v>
      </c>
      <c r="C2">
        <v>0.09</v>
      </c>
      <c r="E2" t="s">
        <v>30</v>
      </c>
      <c r="F2" cm="1">
        <f t="array" ref="F2">_xlfn.XLOOKUP(E2, Table13[[#All],[Bullet]], Table13[[#All],[K_hit]], nil)</f>
        <v>0.3</v>
      </c>
      <c r="G2" cm="1">
        <f t="array" ref="G2">_xlfn.XLOOKUP(E2, Table13[[#All],[Bullet]], Table13[[#All],[K_Ap]], nil)</f>
        <v>0.2</v>
      </c>
      <c r="H2">
        <v>0.1</v>
      </c>
      <c r="I2" t="s">
        <v>14</v>
      </c>
      <c r="J2" cm="1">
        <f t="array" ref="J2">_xlfn.XLOOKUP(I2, Table15[[#All],[Plate]], Table15[[#All],[Plate_BR]])</f>
        <v>0</v>
      </c>
      <c r="K2" s="1">
        <f>IF(N2="torso", H2+J2, H2)</f>
        <v>0.1</v>
      </c>
      <c r="L2" s="1">
        <f>IF(G2/K2&gt;1, 1, G2/K2)</f>
        <v>1</v>
      </c>
      <c r="M2" s="13">
        <v>0.3</v>
      </c>
      <c r="N2" s="8" t="s">
        <v>15</v>
      </c>
      <c r="O2" s="12" cm="1">
        <f t="array" ref="O2">_xlfn.XLOOKUP(Table16[[#This Row],[Limb]], Table14[[#All],[Bdy_Part]], Table14[[#All],[Lmb_Mul]])</f>
        <v>1</v>
      </c>
      <c r="P2" s="1">
        <f>SUM(((F2*L2)*(1-M2))*O2)</f>
        <v>0.21</v>
      </c>
      <c r="Q2" s="11">
        <f>ROUNDUP(1/P2,0)</f>
        <v>5</v>
      </c>
      <c r="S2" s="3"/>
      <c r="T2" s="3"/>
      <c r="U2" s="3"/>
      <c r="V2" s="3"/>
      <c r="W2" s="3"/>
      <c r="X2" s="3"/>
      <c r="Y2" s="4"/>
      <c r="Z2" s="3"/>
      <c r="AA2" s="9"/>
      <c r="AB2" s="4"/>
      <c r="AC2" s="4"/>
      <c r="AD2" s="5"/>
      <c r="AE2" s="3"/>
      <c r="AF2" s="3"/>
      <c r="AG2" s="3"/>
      <c r="AH2" s="3"/>
      <c r="AI2" s="3"/>
      <c r="AJ2" s="3"/>
      <c r="AK2" s="3"/>
      <c r="AL2" s="3"/>
      <c r="AM2" s="3"/>
      <c r="AN2" s="3"/>
      <c r="AO2" s="3"/>
      <c r="AP2" s="4"/>
      <c r="AQ2" s="4"/>
      <c r="AR2" s="3"/>
      <c r="AS2" s="5"/>
      <c r="AT2" s="3"/>
      <c r="AU2" s="3"/>
      <c r="AV2" s="3"/>
      <c r="AW2" s="3"/>
      <c r="AX2" s="3"/>
    </row>
    <row r="3" spans="1:53" x14ac:dyDescent="0.25">
      <c r="A3" t="s">
        <v>18</v>
      </c>
      <c r="B3">
        <v>0.3</v>
      </c>
      <c r="C3">
        <v>0.09</v>
      </c>
      <c r="E3" t="s">
        <v>30</v>
      </c>
      <c r="F3" cm="1">
        <f t="array" ref="F3">_xlfn.XLOOKUP(E3, Table13[[#All],[Bullet]], Table13[[#All],[K_hit]], nil)</f>
        <v>0.3</v>
      </c>
      <c r="G3" cm="1">
        <f t="array" ref="G3">_xlfn.XLOOKUP(E3, Table13[[#All],[Bullet]], Table13[[#All],[K_Ap]], nil)</f>
        <v>0.2</v>
      </c>
      <c r="H3">
        <v>0.2</v>
      </c>
      <c r="I3" t="s">
        <v>14</v>
      </c>
      <c r="J3" cm="1">
        <f t="array" ref="J3">_xlfn.XLOOKUP(I3, Table15[[#All],[Plate]], Table15[[#All],[Plate_BR]])</f>
        <v>0</v>
      </c>
      <c r="K3" s="1">
        <f>IF(N3="torso", H3+J3, H3)</f>
        <v>0.2</v>
      </c>
      <c r="L3" s="1">
        <f>IF(G3/K3&gt;1, 1, G3/K3)</f>
        <v>1</v>
      </c>
      <c r="M3" s="13">
        <v>0.3</v>
      </c>
      <c r="N3" s="8" t="s">
        <v>15</v>
      </c>
      <c r="O3" s="12" cm="1">
        <f t="array" ref="O3">_xlfn.XLOOKUP(Table16[[#This Row],[Limb]], Table14[[#All],[Bdy_Part]], Table14[[#All],[Lmb_Mul]])</f>
        <v>1</v>
      </c>
      <c r="P3" s="1">
        <f>SUM(((F3*L3)*(1-M3))*O3)</f>
        <v>0.21</v>
      </c>
      <c r="Q3" s="11">
        <f>ROUNDUP(1/P3,0)</f>
        <v>5</v>
      </c>
      <c r="S3" s="3"/>
      <c r="T3" s="3"/>
      <c r="U3" s="3"/>
      <c r="V3" s="3"/>
      <c r="W3" s="3"/>
      <c r="X3" s="3"/>
      <c r="Y3" s="4"/>
      <c r="Z3" s="3"/>
      <c r="AA3" s="9"/>
      <c r="AB3" s="4"/>
      <c r="AC3" s="4"/>
      <c r="AD3" s="5"/>
      <c r="AE3" s="3"/>
      <c r="AF3" s="3"/>
      <c r="AG3" s="3"/>
      <c r="AH3" s="3"/>
      <c r="AI3" s="3"/>
      <c r="AJ3" s="3"/>
      <c r="AK3" s="3"/>
      <c r="AL3" s="3"/>
      <c r="AM3" s="3"/>
      <c r="AN3" s="3"/>
      <c r="AO3" s="3"/>
      <c r="AP3" s="4"/>
      <c r="AQ3" s="4"/>
      <c r="AR3" s="3"/>
      <c r="AS3" s="5"/>
      <c r="AT3" s="3"/>
      <c r="AU3" s="3"/>
      <c r="AV3" s="3"/>
      <c r="AW3" s="3"/>
      <c r="AX3" s="3"/>
    </row>
    <row r="4" spans="1:53" x14ac:dyDescent="0.25">
      <c r="A4" t="s">
        <v>19</v>
      </c>
      <c r="B4">
        <v>0.3</v>
      </c>
      <c r="C4">
        <v>0.09</v>
      </c>
      <c r="E4" t="s">
        <v>30</v>
      </c>
      <c r="F4" cm="1">
        <f t="array" ref="F4">_xlfn.XLOOKUP(E4, Table13[[#All],[Bullet]], Table13[[#All],[K_hit]], nil)</f>
        <v>0.3</v>
      </c>
      <c r="G4" cm="1">
        <f t="array" ref="G4">_xlfn.XLOOKUP(E4, Table13[[#All],[Bullet]], Table13[[#All],[K_Ap]], nil)</f>
        <v>0.2</v>
      </c>
      <c r="H4">
        <v>0.3</v>
      </c>
      <c r="I4" t="s">
        <v>14</v>
      </c>
      <c r="J4" cm="1">
        <f t="array" ref="J4">_xlfn.XLOOKUP(I4, Table15[[#All],[Plate]], Table15[[#All],[Plate_BR]])</f>
        <v>0</v>
      </c>
      <c r="K4" s="1">
        <f>IF(N4="torso", H4+J4, H4)</f>
        <v>0.3</v>
      </c>
      <c r="L4" s="1">
        <f>IF(G4/K4&gt;1, 1, G4/K4)</f>
        <v>0.66666666666666674</v>
      </c>
      <c r="M4" s="13">
        <v>0.3</v>
      </c>
      <c r="N4" s="8" t="s">
        <v>15</v>
      </c>
      <c r="O4" s="12" cm="1">
        <f t="array" ref="O4">_xlfn.XLOOKUP(Table16[[#This Row],[Limb]], Table14[[#All],[Bdy_Part]], Table14[[#All],[Lmb_Mul]])</f>
        <v>1</v>
      </c>
      <c r="P4" s="1">
        <f>SUM(((F4*L4)*(1-M4))*O4)</f>
        <v>0.13999999999999999</v>
      </c>
      <c r="Q4" s="11">
        <f>ROUNDUP(1/P4,0)</f>
        <v>8</v>
      </c>
      <c r="S4" s="3"/>
      <c r="T4" s="3"/>
      <c r="U4" s="3"/>
      <c r="V4" s="3"/>
      <c r="W4" s="3"/>
      <c r="X4" s="3"/>
      <c r="Y4" s="4"/>
      <c r="Z4" s="3"/>
      <c r="AA4" s="9"/>
      <c r="AB4" s="4"/>
      <c r="AC4" s="4"/>
      <c r="AD4" s="5"/>
      <c r="AE4" s="3"/>
      <c r="AF4" s="3"/>
      <c r="AG4" s="3"/>
      <c r="AH4" s="3"/>
      <c r="AI4" s="3"/>
      <c r="AJ4" s="3"/>
      <c r="AK4" s="3"/>
      <c r="AL4" s="3"/>
      <c r="AM4" s="3"/>
      <c r="AN4" s="3"/>
      <c r="AO4" s="3"/>
      <c r="AP4" s="4"/>
      <c r="AQ4" s="4"/>
      <c r="AR4" s="3"/>
      <c r="AS4" s="5"/>
      <c r="AT4" s="3"/>
      <c r="AU4" s="3"/>
      <c r="AV4" s="3"/>
      <c r="AW4" s="3"/>
      <c r="AX4" s="3"/>
    </row>
    <row r="5" spans="1:53" x14ac:dyDescent="0.25">
      <c r="A5" t="s">
        <v>20</v>
      </c>
      <c r="B5">
        <v>0.36</v>
      </c>
      <c r="C5">
        <v>0.02</v>
      </c>
      <c r="E5" t="s">
        <v>30</v>
      </c>
      <c r="F5" cm="1">
        <f t="array" ref="F5">_xlfn.XLOOKUP(E5, Table13[[#All],[Bullet]], Table13[[#All],[K_hit]], nil)</f>
        <v>0.3</v>
      </c>
      <c r="G5" cm="1">
        <f t="array" ref="G5">_xlfn.XLOOKUP(E5, Table13[[#All],[Bullet]], Table13[[#All],[K_Ap]], nil)</f>
        <v>0.2</v>
      </c>
      <c r="H5">
        <v>0.4</v>
      </c>
      <c r="I5" t="s">
        <v>14</v>
      </c>
      <c r="J5" cm="1">
        <f t="array" ref="J5">_xlfn.XLOOKUP(I5, Table15[[#All],[Plate]], Table15[[#All],[Plate_BR]])</f>
        <v>0</v>
      </c>
      <c r="K5" s="1">
        <f>IF(N5="torso", H5+J5, H5)</f>
        <v>0.4</v>
      </c>
      <c r="L5" s="1">
        <f>IF(G5/K5&gt;1, 1, G5/K5)</f>
        <v>0.5</v>
      </c>
      <c r="M5" s="13">
        <v>0.3</v>
      </c>
      <c r="N5" s="8" t="s">
        <v>15</v>
      </c>
      <c r="O5" s="12" cm="1">
        <f t="array" ref="O5">_xlfn.XLOOKUP(Table16[[#This Row],[Limb]], Table14[[#All],[Bdy_Part]], Table14[[#All],[Lmb_Mul]])</f>
        <v>1</v>
      </c>
      <c r="P5" s="1">
        <f>SUM(((F5*L5)*(1-M5))*O5)</f>
        <v>0.105</v>
      </c>
      <c r="Q5" s="11">
        <f>ROUNDUP(1/P5,0)</f>
        <v>10</v>
      </c>
      <c r="S5" s="3"/>
      <c r="T5" s="3"/>
      <c r="U5" s="3"/>
      <c r="V5" s="3"/>
      <c r="W5" s="3"/>
      <c r="X5" s="3"/>
      <c r="Y5" s="4"/>
      <c r="Z5" s="3"/>
      <c r="AA5" s="9"/>
      <c r="AB5" s="4"/>
      <c r="AC5" s="4"/>
      <c r="AD5" s="5"/>
      <c r="AE5" s="3"/>
      <c r="AF5" s="3"/>
      <c r="AG5" s="3"/>
      <c r="AH5" s="3"/>
      <c r="AI5" s="3"/>
      <c r="AJ5" s="3"/>
      <c r="AK5" s="3"/>
      <c r="AL5" s="3"/>
      <c r="AM5" s="3"/>
      <c r="AN5" s="3"/>
      <c r="AO5" s="3"/>
      <c r="AP5" s="4"/>
      <c r="AQ5" s="4"/>
      <c r="AR5" s="3"/>
      <c r="AS5" s="5"/>
      <c r="AT5" s="3"/>
      <c r="AU5" s="3"/>
      <c r="AV5" s="3"/>
      <c r="AW5" s="3"/>
      <c r="AX5" s="3"/>
    </row>
    <row r="6" spans="1:53" x14ac:dyDescent="0.25">
      <c r="A6" t="s">
        <v>21</v>
      </c>
      <c r="B6">
        <v>0.36</v>
      </c>
      <c r="C6">
        <v>0.02</v>
      </c>
      <c r="E6" t="s">
        <v>30</v>
      </c>
      <c r="F6" cm="1">
        <f t="array" ref="F6">_xlfn.XLOOKUP(E6, Table13[[#All],[Bullet]], Table13[[#All],[K_hit]], nil)</f>
        <v>0.3</v>
      </c>
      <c r="G6" cm="1">
        <f t="array" ref="G6">_xlfn.XLOOKUP(E6, Table13[[#All],[Bullet]], Table13[[#All],[K_Ap]], nil)</f>
        <v>0.2</v>
      </c>
      <c r="H6">
        <v>0.5</v>
      </c>
      <c r="I6" t="s">
        <v>14</v>
      </c>
      <c r="J6" cm="1">
        <f t="array" ref="J6">_xlfn.XLOOKUP(I6, Table15[[#All],[Plate]], Table15[[#All],[Plate_BR]])</f>
        <v>0</v>
      </c>
      <c r="K6" s="1">
        <f>IF(N6="torso", H6+J6, H6)</f>
        <v>0.5</v>
      </c>
      <c r="L6" s="1">
        <f>IF(G6/K6&gt;1, 1, G6/K6)</f>
        <v>0.4</v>
      </c>
      <c r="M6" s="13">
        <v>0.3</v>
      </c>
      <c r="N6" s="8" t="s">
        <v>15</v>
      </c>
      <c r="O6" s="12" cm="1">
        <f t="array" ref="O6">_xlfn.XLOOKUP(Table16[[#This Row],[Limb]], Table14[[#All],[Bdy_Part]], Table14[[#All],[Lmb_Mul]])</f>
        <v>1</v>
      </c>
      <c r="P6" s="1">
        <f>SUM(((F6*L6)*(1-M6))*O6)</f>
        <v>8.3999999999999991E-2</v>
      </c>
      <c r="Q6" s="11">
        <f>ROUNDUP(1/P6,0)</f>
        <v>12</v>
      </c>
      <c r="S6" s="3"/>
      <c r="T6" s="3"/>
      <c r="U6" s="3"/>
      <c r="V6" s="3"/>
      <c r="W6" s="3"/>
      <c r="X6" s="3"/>
      <c r="Y6" s="4"/>
      <c r="Z6" s="3"/>
      <c r="AA6" s="9"/>
      <c r="AB6" s="4"/>
      <c r="AC6" s="4"/>
      <c r="AD6" s="5"/>
      <c r="AE6" s="3"/>
      <c r="AF6" s="3"/>
      <c r="AG6" s="3"/>
      <c r="AH6" s="3"/>
      <c r="AI6" s="3"/>
      <c r="AJ6" s="3"/>
      <c r="AK6" s="3"/>
      <c r="AL6" s="3"/>
      <c r="AM6" s="3"/>
      <c r="AN6" s="3"/>
      <c r="AO6" s="3"/>
      <c r="AP6" s="4"/>
      <c r="AQ6" s="4"/>
      <c r="AR6" s="3"/>
      <c r="AS6" s="5"/>
      <c r="AT6" s="3"/>
      <c r="AU6" s="3"/>
      <c r="AV6" s="3"/>
      <c r="AW6" s="3"/>
      <c r="AX6" s="3"/>
    </row>
    <row r="7" spans="1:53" x14ac:dyDescent="0.25">
      <c r="A7" t="s">
        <v>22</v>
      </c>
      <c r="B7">
        <v>0.36</v>
      </c>
      <c r="C7">
        <v>0.02</v>
      </c>
      <c r="E7" t="s">
        <v>30</v>
      </c>
      <c r="F7" cm="1">
        <f t="array" ref="F7">_xlfn.XLOOKUP(E7, Table13[[#All],[Bullet]], Table13[[#All],[K_hit]], nil)</f>
        <v>0.3</v>
      </c>
      <c r="G7" cm="1">
        <f t="array" ref="G7">_xlfn.XLOOKUP(E7, Table13[[#All],[Bullet]], Table13[[#All],[K_Ap]], nil)</f>
        <v>0.2</v>
      </c>
      <c r="H7">
        <v>0.6</v>
      </c>
      <c r="I7" t="s">
        <v>14</v>
      </c>
      <c r="J7" cm="1">
        <f t="array" ref="J7">_xlfn.XLOOKUP(I7, Table15[[#All],[Plate]], Table15[[#All],[Plate_BR]])</f>
        <v>0</v>
      </c>
      <c r="K7" s="1">
        <f>IF(N7="torso", H7+J7, H7)</f>
        <v>0.6</v>
      </c>
      <c r="L7" s="1">
        <f>IF(G7/K7&gt;1, 1, G7/K7)</f>
        <v>0.33333333333333337</v>
      </c>
      <c r="M7" s="13">
        <v>0.3</v>
      </c>
      <c r="N7" s="8" t="s">
        <v>15</v>
      </c>
      <c r="O7" s="12" cm="1">
        <f t="array" ref="O7">_xlfn.XLOOKUP(Table16[[#This Row],[Limb]], Table14[[#All],[Bdy_Part]], Table14[[#All],[Lmb_Mul]])</f>
        <v>1</v>
      </c>
      <c r="P7" s="1">
        <f>SUM(((F7*L7)*(1-M7))*O7)</f>
        <v>6.9999999999999993E-2</v>
      </c>
      <c r="Q7" s="11">
        <f>ROUNDUP(1/P7,0)</f>
        <v>15</v>
      </c>
      <c r="S7" s="3"/>
      <c r="T7" s="3"/>
      <c r="U7" s="3"/>
      <c r="V7" s="3"/>
      <c r="W7" s="3"/>
      <c r="X7" s="3"/>
      <c r="Y7" s="4"/>
      <c r="Z7" s="3"/>
      <c r="AA7" s="9"/>
      <c r="AB7" s="4"/>
      <c r="AC7" s="4"/>
      <c r="AD7" s="5"/>
      <c r="AE7" s="3"/>
      <c r="AF7" s="3"/>
      <c r="AG7" s="3"/>
      <c r="AH7" s="3"/>
      <c r="AI7" s="3"/>
      <c r="AJ7" s="3"/>
      <c r="AK7" s="3"/>
      <c r="AL7" s="3"/>
      <c r="AM7" s="3"/>
      <c r="AN7" s="3"/>
      <c r="AO7" s="3"/>
      <c r="AP7" s="4"/>
      <c r="AQ7" s="4"/>
      <c r="AR7" s="3"/>
      <c r="AS7" s="5"/>
      <c r="AT7" s="3"/>
      <c r="AU7" s="3"/>
      <c r="AV7" s="3"/>
      <c r="AW7" s="3"/>
      <c r="AX7" s="3"/>
    </row>
    <row r="8" spans="1:53" x14ac:dyDescent="0.25">
      <c r="A8" t="s">
        <v>23</v>
      </c>
      <c r="B8">
        <v>0.255</v>
      </c>
      <c r="C8">
        <v>0.13</v>
      </c>
      <c r="E8" t="s">
        <v>30</v>
      </c>
      <c r="F8" cm="1">
        <f t="array" ref="F8">_xlfn.XLOOKUP(E8, Table13[[#All],[Bullet]], Table13[[#All],[K_hit]], nil)</f>
        <v>0.3</v>
      </c>
      <c r="G8" cm="1">
        <f t="array" ref="G8">_xlfn.XLOOKUP(E8, Table13[[#All],[Bullet]], Table13[[#All],[K_Ap]], nil)</f>
        <v>0.2</v>
      </c>
      <c r="H8">
        <v>0.7</v>
      </c>
      <c r="I8" t="s">
        <v>14</v>
      </c>
      <c r="J8" cm="1">
        <f t="array" ref="J8">_xlfn.XLOOKUP(I8, Table15[[#All],[Plate]], Table15[[#All],[Plate_BR]])</f>
        <v>0</v>
      </c>
      <c r="K8" s="1">
        <f>IF(N8="torso", H8+J8, H8)</f>
        <v>0.7</v>
      </c>
      <c r="L8" s="1">
        <f>IF(G8/K8&gt;1, 1, G8/K8)</f>
        <v>0.28571428571428575</v>
      </c>
      <c r="M8" s="13">
        <v>0.3</v>
      </c>
      <c r="N8" s="8" t="s">
        <v>15</v>
      </c>
      <c r="O8" s="12" cm="1">
        <f t="array" ref="O8">_xlfn.XLOOKUP(Table16[[#This Row],[Limb]], Table14[[#All],[Bdy_Part]], Table14[[#All],[Lmb_Mul]])</f>
        <v>1</v>
      </c>
      <c r="P8" s="1">
        <f>SUM(((F8*L8)*(1-M8))*O8)</f>
        <v>6.0000000000000005E-2</v>
      </c>
      <c r="Q8" s="11">
        <f>ROUNDUP(1/P8,0)</f>
        <v>17</v>
      </c>
      <c r="S8" s="3"/>
      <c r="T8" s="3"/>
      <c r="U8" s="3"/>
      <c r="V8" s="3"/>
      <c r="W8" s="3"/>
      <c r="X8" s="3"/>
      <c r="Y8" s="4"/>
      <c r="Z8" s="3"/>
      <c r="AA8" s="9"/>
      <c r="AB8" s="4"/>
      <c r="AC8" s="4"/>
      <c r="AD8" s="5"/>
      <c r="AE8" s="3"/>
      <c r="AF8" s="3"/>
      <c r="AG8" s="3"/>
      <c r="AH8" s="3"/>
      <c r="AI8" s="3"/>
      <c r="AJ8" s="3"/>
      <c r="AK8" s="3"/>
      <c r="AL8" s="3"/>
      <c r="AM8" s="3"/>
      <c r="AN8" s="3"/>
      <c r="AO8" s="3"/>
      <c r="AP8" s="4"/>
      <c r="AQ8" s="4"/>
      <c r="AR8" s="3"/>
      <c r="AS8" s="5"/>
      <c r="AT8" s="3"/>
      <c r="AU8" s="3"/>
      <c r="AV8" s="3"/>
      <c r="AW8" s="3"/>
      <c r="AX8" s="3"/>
    </row>
    <row r="9" spans="1:53" x14ac:dyDescent="0.25">
      <c r="A9" t="s">
        <v>24</v>
      </c>
      <c r="B9">
        <v>0.255</v>
      </c>
      <c r="C9">
        <v>0.13</v>
      </c>
      <c r="E9" t="s">
        <v>30</v>
      </c>
      <c r="F9" cm="1">
        <f t="array" ref="F9">_xlfn.XLOOKUP(E9, Table13[[#All],[Bullet]], Table13[[#All],[K_hit]], nil)</f>
        <v>0.3</v>
      </c>
      <c r="G9" cm="1">
        <f t="array" ref="G9">_xlfn.XLOOKUP(E9, Table13[[#All],[Bullet]], Table13[[#All],[K_Ap]], nil)</f>
        <v>0.2</v>
      </c>
      <c r="H9">
        <v>0.8</v>
      </c>
      <c r="I9" t="s">
        <v>14</v>
      </c>
      <c r="J9" cm="1">
        <f t="array" ref="J9">_xlfn.XLOOKUP(I9, Table15[[#All],[Plate]], Table15[[#All],[Plate_BR]])</f>
        <v>0</v>
      </c>
      <c r="K9" s="1">
        <f>IF(N9="torso", H9+J9, H9)</f>
        <v>0.8</v>
      </c>
      <c r="L9" s="1">
        <f>IF(G9/K9&gt;1, 1, G9/K9)</f>
        <v>0.25</v>
      </c>
      <c r="M9" s="13">
        <v>0.3</v>
      </c>
      <c r="N9" s="8" t="s">
        <v>15</v>
      </c>
      <c r="O9" s="12" cm="1">
        <f t="array" ref="O9">_xlfn.XLOOKUP(Table16[[#This Row],[Limb]], Table14[[#All],[Bdy_Part]], Table14[[#All],[Lmb_Mul]])</f>
        <v>1</v>
      </c>
      <c r="P9" s="1">
        <f>SUM(((F9*L9)*(1-M9))*O9)</f>
        <v>5.2499999999999998E-2</v>
      </c>
      <c r="Q9" s="11">
        <f>ROUNDUP(1/P9,0)</f>
        <v>20</v>
      </c>
      <c r="S9" s="3"/>
      <c r="T9" s="3"/>
      <c r="U9" s="3"/>
      <c r="V9" s="3"/>
      <c r="W9" s="3"/>
      <c r="X9" s="3"/>
      <c r="Y9" s="4"/>
      <c r="Z9" s="3"/>
      <c r="AA9" s="9"/>
      <c r="AB9" s="4"/>
      <c r="AC9" s="4"/>
      <c r="AD9" s="5"/>
      <c r="AE9" s="3"/>
      <c r="AF9" s="3"/>
      <c r="AG9" s="3"/>
      <c r="AH9" s="3"/>
      <c r="AI9" s="3"/>
      <c r="AJ9" s="3"/>
      <c r="AK9" s="3"/>
      <c r="AL9" s="3"/>
      <c r="AM9" s="3"/>
      <c r="AN9" s="3"/>
      <c r="AO9" s="3"/>
      <c r="AP9" s="4"/>
      <c r="AQ9" s="4"/>
      <c r="AR9" s="3"/>
      <c r="AS9" s="5"/>
      <c r="AT9" s="3"/>
      <c r="AU9" s="3"/>
      <c r="AV9" s="3"/>
      <c r="AW9" s="3"/>
      <c r="AX9" s="3"/>
    </row>
    <row r="10" spans="1:53" x14ac:dyDescent="0.25">
      <c r="A10" t="s">
        <v>25</v>
      </c>
      <c r="B10">
        <v>0.255</v>
      </c>
      <c r="C10">
        <v>0.13</v>
      </c>
      <c r="E10" t="s">
        <v>30</v>
      </c>
      <c r="F10" cm="1">
        <f t="array" ref="F10">_xlfn.XLOOKUP(E10, Table13[[#All],[Bullet]], Table13[[#All],[K_hit]], nil)</f>
        <v>0.3</v>
      </c>
      <c r="G10" cm="1">
        <f t="array" ref="G10">_xlfn.XLOOKUP(E10, Table13[[#All],[Bullet]], Table13[[#All],[K_Ap]], nil)</f>
        <v>0.2</v>
      </c>
      <c r="H10">
        <v>0.9</v>
      </c>
      <c r="I10" t="s">
        <v>14</v>
      </c>
      <c r="J10" cm="1">
        <f t="array" ref="J10">_xlfn.XLOOKUP(I10, Table15[[#All],[Plate]], Table15[[#All],[Plate_BR]])</f>
        <v>0</v>
      </c>
      <c r="K10" s="1">
        <f>IF(N10="torso", H10+J10, H10)</f>
        <v>0.9</v>
      </c>
      <c r="L10" s="1">
        <f>IF(G10/K10&gt;1, 1, G10/K10)</f>
        <v>0.22222222222222224</v>
      </c>
      <c r="M10" s="13">
        <v>0.3</v>
      </c>
      <c r="N10" s="8" t="s">
        <v>15</v>
      </c>
      <c r="O10" s="12" cm="1">
        <f t="array" ref="O10">_xlfn.XLOOKUP(Table16[[#This Row],[Limb]], Table14[[#All],[Bdy_Part]], Table14[[#All],[Lmb_Mul]])</f>
        <v>1</v>
      </c>
      <c r="P10" s="1">
        <f>SUM(((F10*L10)*(1-M10))*O10)</f>
        <v>4.6666666666666662E-2</v>
      </c>
      <c r="Q10" s="11">
        <f>ROUNDUP(1/P10,0)</f>
        <v>22</v>
      </c>
      <c r="S10" s="3"/>
      <c r="T10" s="3"/>
      <c r="U10" s="3"/>
      <c r="V10" s="3"/>
      <c r="W10" s="3"/>
      <c r="X10" s="3"/>
      <c r="Y10" s="4"/>
      <c r="Z10" s="3"/>
      <c r="AA10" s="9"/>
      <c r="AB10" s="4"/>
      <c r="AC10" s="4"/>
      <c r="AD10" s="5"/>
      <c r="AE10" s="3"/>
      <c r="AF10" s="3"/>
      <c r="AG10" s="3"/>
      <c r="AH10" s="3"/>
      <c r="AI10" s="3"/>
      <c r="AJ10" s="3"/>
      <c r="AK10" s="3"/>
      <c r="AL10" s="3"/>
      <c r="AM10" s="3"/>
      <c r="AN10" s="3"/>
      <c r="AO10" s="3"/>
      <c r="AP10" s="4"/>
      <c r="AQ10" s="4"/>
      <c r="AR10" s="3"/>
      <c r="AS10" s="5"/>
      <c r="AT10" s="3"/>
      <c r="AU10" s="3"/>
      <c r="AV10" s="3"/>
      <c r="AW10" s="3"/>
      <c r="AX10" s="3"/>
    </row>
    <row r="11" spans="1:53" x14ac:dyDescent="0.25">
      <c r="A11" t="s">
        <v>26</v>
      </c>
      <c r="B11">
        <v>0.36</v>
      </c>
      <c r="C11">
        <v>0.11</v>
      </c>
      <c r="E11" t="s">
        <v>30</v>
      </c>
      <c r="F11" cm="1">
        <f t="array" ref="F11">_xlfn.XLOOKUP(E11, Table13[[#All],[Bullet]], Table13[[#All],[K_hit]], nil)</f>
        <v>0.3</v>
      </c>
      <c r="G11" cm="1">
        <f t="array" ref="G11">_xlfn.XLOOKUP(E11, Table13[[#All],[Bullet]], Table13[[#All],[K_Ap]], nil)</f>
        <v>0.2</v>
      </c>
      <c r="H11">
        <v>1</v>
      </c>
      <c r="I11" t="s">
        <v>14</v>
      </c>
      <c r="J11" cm="1">
        <f t="array" ref="J11">_xlfn.XLOOKUP(I11, Table15[[#All],[Plate]], Table15[[#All],[Plate_BR]])</f>
        <v>0</v>
      </c>
      <c r="K11" s="1">
        <f>IF(N11="torso", H11+J11, H11)</f>
        <v>1</v>
      </c>
      <c r="L11" s="1">
        <f>IF(G11/K11&gt;1, 1, G11/K11)</f>
        <v>0.2</v>
      </c>
      <c r="M11" s="13">
        <v>0.3</v>
      </c>
      <c r="N11" s="8" t="s">
        <v>15</v>
      </c>
      <c r="O11" s="12" cm="1">
        <f t="array" ref="O11">_xlfn.XLOOKUP(Table16[[#This Row],[Limb]], Table14[[#All],[Bdy_Part]], Table14[[#All],[Lmb_Mul]])</f>
        <v>1</v>
      </c>
      <c r="P11" s="1">
        <f>SUM(((F11*L11)*(1-M11))*O11)</f>
        <v>4.1999999999999996E-2</v>
      </c>
      <c r="Q11" s="11">
        <f>ROUNDUP(1/P11,0)</f>
        <v>24</v>
      </c>
      <c r="S11" s="3"/>
      <c r="T11" s="3"/>
      <c r="U11" s="3"/>
      <c r="V11" s="3"/>
      <c r="W11" s="3"/>
      <c r="X11" s="3"/>
      <c r="Y11" s="4"/>
      <c r="Z11" s="3"/>
      <c r="AA11" s="9"/>
      <c r="AB11" s="4"/>
      <c r="AC11" s="4"/>
      <c r="AD11" s="5"/>
      <c r="AE11" s="3"/>
      <c r="AF11" s="3"/>
      <c r="AG11" s="3"/>
      <c r="AH11" s="3"/>
      <c r="AI11" s="3"/>
      <c r="AJ11" s="3"/>
      <c r="AK11" s="3"/>
      <c r="AL11" s="3"/>
      <c r="AM11" s="3"/>
      <c r="AN11" s="3"/>
      <c r="AO11" s="3"/>
      <c r="AP11" s="4"/>
      <c r="AQ11" s="4"/>
      <c r="AR11" s="3"/>
      <c r="AS11" s="5"/>
      <c r="AT11" s="3"/>
      <c r="AU11" s="3"/>
      <c r="AV11" s="3"/>
      <c r="AW11" s="3"/>
      <c r="AX11" s="3"/>
    </row>
    <row r="12" spans="1:53" x14ac:dyDescent="0.25">
      <c r="A12" t="s">
        <v>27</v>
      </c>
      <c r="B12">
        <v>0.36</v>
      </c>
      <c r="C12">
        <v>0.11</v>
      </c>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row>
    <row r="13" spans="1:53" x14ac:dyDescent="0.25">
      <c r="A13" t="s">
        <v>28</v>
      </c>
      <c r="B13">
        <v>0.36</v>
      </c>
      <c r="C13">
        <v>0.11</v>
      </c>
      <c r="E13" t="s">
        <v>3</v>
      </c>
      <c r="F13" t="s">
        <v>4</v>
      </c>
      <c r="G13" t="s">
        <v>2</v>
      </c>
      <c r="H13" t="s">
        <v>5</v>
      </c>
      <c r="I13" t="s">
        <v>6</v>
      </c>
      <c r="J13" t="s">
        <v>7</v>
      </c>
      <c r="K13" t="s">
        <v>161</v>
      </c>
      <c r="L13" t="s">
        <v>159</v>
      </c>
      <c r="M13" t="s">
        <v>8</v>
      </c>
      <c r="N13" t="s">
        <v>9</v>
      </c>
      <c r="O13" t="s">
        <v>10</v>
      </c>
      <c r="P13" t="s">
        <v>160</v>
      </c>
      <c r="Q13" t="s">
        <v>11</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row>
    <row r="14" spans="1:53" x14ac:dyDescent="0.25">
      <c r="A14" t="s">
        <v>29</v>
      </c>
      <c r="B14">
        <v>0.432</v>
      </c>
      <c r="C14">
        <v>0.05</v>
      </c>
      <c r="E14" t="s">
        <v>44</v>
      </c>
      <c r="F14" cm="1">
        <f t="array" ref="F14">_xlfn.XLOOKUP(E14, Table13[[#All],[Bullet]], Table13[[#All],[K_hit]], nil)</f>
        <v>0.28000000000000003</v>
      </c>
      <c r="G14" cm="1">
        <f t="array" ref="G14">_xlfn.XLOOKUP(E14, Table13[[#All],[Bullet]], Table13[[#All],[K_Ap]], nil)</f>
        <v>0.24</v>
      </c>
      <c r="H14">
        <v>0.1</v>
      </c>
      <c r="I14" t="s">
        <v>80</v>
      </c>
      <c r="J14" cm="1">
        <f t="array" ref="J14">_xlfn.XLOOKUP(I14, Table15[[#All],[Plate]], Table15[[#All],[Plate_BR]])</f>
        <v>0.1</v>
      </c>
      <c r="K14" s="1">
        <f>IF(N14="torso", H14+J14, H14)</f>
        <v>0.2</v>
      </c>
      <c r="L14" s="1">
        <f>IF(G14/K14&gt;1, 1, G14/K14)</f>
        <v>1</v>
      </c>
      <c r="M14" s="13">
        <v>0</v>
      </c>
      <c r="N14" s="8" t="s">
        <v>15</v>
      </c>
      <c r="O14" s="1" cm="1">
        <f t="array" ref="O14">_xlfn.XLOOKUP(Table1617[[#This Row],[Limb]], Table14[[#All],[Bdy_Part]], Table14[[#All],[Lmb_Mul]])</f>
        <v>1</v>
      </c>
      <c r="P14" s="1">
        <f>SUM(((F14*L14)*(1-M14))*O14)</f>
        <v>0.28000000000000003</v>
      </c>
      <c r="Q14" s="11">
        <f>ROUNDUP(1/P14,0)</f>
        <v>4</v>
      </c>
      <c r="X14" s="3"/>
      <c r="Y14" s="3"/>
      <c r="Z14" s="3"/>
      <c r="AA14" s="4"/>
      <c r="AB14" s="4"/>
      <c r="AC14" s="3"/>
      <c r="AD14" s="5"/>
      <c r="AE14" s="3"/>
      <c r="AF14" s="3"/>
      <c r="AG14" s="3"/>
      <c r="AH14" s="3"/>
      <c r="AI14" s="3"/>
      <c r="AJ14" s="3"/>
      <c r="AK14" s="3"/>
      <c r="AL14" s="3"/>
      <c r="AM14" s="3"/>
      <c r="AN14" s="3"/>
      <c r="AO14" s="3"/>
      <c r="AP14" s="4"/>
      <c r="AQ14" s="4"/>
      <c r="AR14" s="3"/>
      <c r="AS14" s="5"/>
      <c r="AT14" s="3"/>
      <c r="AU14" s="3"/>
      <c r="AV14" s="3"/>
      <c r="AW14" s="3"/>
      <c r="AX14" s="3"/>
    </row>
    <row r="15" spans="1:53" x14ac:dyDescent="0.25">
      <c r="A15" t="s">
        <v>32</v>
      </c>
      <c r="B15">
        <v>0.432</v>
      </c>
      <c r="C15">
        <v>0.05</v>
      </c>
      <c r="E15" t="s">
        <v>44</v>
      </c>
      <c r="F15" cm="1">
        <f t="array" ref="F15">_xlfn.XLOOKUP(E15, Table13[[#All],[Bullet]], Table13[[#All],[K_hit]], nil)</f>
        <v>0.28000000000000003</v>
      </c>
      <c r="G15" cm="1">
        <f t="array" ref="G15">_xlfn.XLOOKUP(E15, Table13[[#All],[Bullet]], Table13[[#All],[K_Ap]], nil)</f>
        <v>0.24</v>
      </c>
      <c r="H15">
        <v>0.2</v>
      </c>
      <c r="I15" t="s">
        <v>14</v>
      </c>
      <c r="J15" cm="1">
        <f t="array" ref="J15">_xlfn.XLOOKUP(I15, Table15[[#All],[Plate]], Table15[[#All],[Plate_BR]])</f>
        <v>0</v>
      </c>
      <c r="K15" s="1">
        <f>IF(N15="torso", H15+J15, H15)</f>
        <v>0.2</v>
      </c>
      <c r="L15" s="1">
        <f>IF(G15/K15&gt;1, 1, G15/K15)</f>
        <v>1</v>
      </c>
      <c r="M15" s="13">
        <v>0</v>
      </c>
      <c r="N15" s="8" t="s">
        <v>15</v>
      </c>
      <c r="O15" s="1" cm="1">
        <f t="array" ref="O15">_xlfn.XLOOKUP(Table1617[[#This Row],[Limb]], Table14[[#All],[Bdy_Part]], Table14[[#All],[Lmb_Mul]])</f>
        <v>1</v>
      </c>
      <c r="P15" s="1">
        <f>SUM(((F15*L15)*(1-M15))*O15)</f>
        <v>0.28000000000000003</v>
      </c>
      <c r="Q15" s="11">
        <f>ROUNDUP(1/P15,0)</f>
        <v>4</v>
      </c>
      <c r="X15" s="3"/>
      <c r="Y15" s="3"/>
      <c r="Z15" s="3"/>
      <c r="AA15" s="4"/>
      <c r="AB15" s="4"/>
      <c r="AC15" s="3"/>
      <c r="AD15" s="5"/>
      <c r="AE15" s="3"/>
      <c r="AF15" s="3"/>
      <c r="AG15" s="3"/>
      <c r="AH15" s="3"/>
      <c r="AI15" s="3"/>
      <c r="AJ15" s="3"/>
      <c r="AK15" s="3"/>
      <c r="AL15" s="3"/>
      <c r="AM15" s="3"/>
      <c r="AN15" s="3"/>
      <c r="AO15" s="3"/>
      <c r="AP15" s="4"/>
      <c r="AQ15" s="4"/>
      <c r="AR15" s="3"/>
      <c r="AS15" s="5"/>
      <c r="AT15" s="3"/>
      <c r="AU15" s="3"/>
      <c r="AV15" s="3"/>
      <c r="AW15" s="3"/>
      <c r="AX15" s="3"/>
    </row>
    <row r="16" spans="1:53" x14ac:dyDescent="0.25">
      <c r="A16" t="s">
        <v>34</v>
      </c>
      <c r="B16">
        <v>0.432</v>
      </c>
      <c r="C16">
        <v>0.05</v>
      </c>
      <c r="E16" t="s">
        <v>44</v>
      </c>
      <c r="F16" cm="1">
        <f t="array" ref="F16">_xlfn.XLOOKUP(E16, Table13[[#All],[Bullet]], Table13[[#All],[K_hit]], nil)</f>
        <v>0.28000000000000003</v>
      </c>
      <c r="G16" cm="1">
        <f t="array" ref="G16">_xlfn.XLOOKUP(E16, Table13[[#All],[Bullet]], Table13[[#All],[K_Ap]], nil)</f>
        <v>0.24</v>
      </c>
      <c r="H16">
        <v>0.3</v>
      </c>
      <c r="I16" t="s">
        <v>14</v>
      </c>
      <c r="J16" cm="1">
        <f t="array" ref="J16">_xlfn.XLOOKUP(I16, Table15[[#All],[Plate]], Table15[[#All],[Plate_BR]])</f>
        <v>0</v>
      </c>
      <c r="K16" s="1">
        <f>IF(N16="torso", H16+J16, H16)</f>
        <v>0.3</v>
      </c>
      <c r="L16" s="1">
        <f>IF(G16/K16&gt;1, 1, G16/K16)</f>
        <v>0.8</v>
      </c>
      <c r="M16" s="13">
        <v>0</v>
      </c>
      <c r="N16" s="8" t="s">
        <v>15</v>
      </c>
      <c r="O16" s="1" cm="1">
        <f t="array" ref="O16">_xlfn.XLOOKUP(Table1617[[#This Row],[Limb]], Table14[[#All],[Bdy_Part]], Table14[[#All],[Lmb_Mul]])</f>
        <v>1</v>
      </c>
      <c r="P16" s="1">
        <f>SUM(((F16*L16)*(1-M16))*O16)</f>
        <v>0.22400000000000003</v>
      </c>
      <c r="Q16" s="11">
        <f>ROUNDUP(1/P16,0)</f>
        <v>5</v>
      </c>
      <c r="X16" s="3"/>
      <c r="Y16" s="3"/>
      <c r="Z16" s="3"/>
      <c r="AA16" s="4"/>
      <c r="AB16" s="4"/>
      <c r="AC16" s="3"/>
      <c r="AD16" s="5"/>
      <c r="AE16" s="3"/>
      <c r="AF16" s="3"/>
      <c r="AG16" s="3"/>
      <c r="AH16" s="3"/>
      <c r="AI16" s="3"/>
      <c r="AJ16" s="3"/>
      <c r="AK16" s="3"/>
      <c r="AL16" s="3"/>
      <c r="AM16" s="3"/>
      <c r="AN16" s="3"/>
      <c r="AO16" s="3"/>
      <c r="AP16" s="4"/>
      <c r="AQ16" s="4"/>
      <c r="AR16" s="3"/>
      <c r="AS16" s="5"/>
      <c r="AT16" s="3"/>
      <c r="AU16" s="3"/>
      <c r="AV16" s="3"/>
      <c r="AW16" s="3"/>
      <c r="AX16" s="3"/>
    </row>
    <row r="17" spans="1:53" x14ac:dyDescent="0.25">
      <c r="A17" t="s">
        <v>35</v>
      </c>
      <c r="B17">
        <v>0.28799999999999998</v>
      </c>
      <c r="C17">
        <v>0.18</v>
      </c>
      <c r="E17" t="s">
        <v>44</v>
      </c>
      <c r="F17" cm="1">
        <f t="array" ref="F17">_xlfn.XLOOKUP(E17, Table13[[#All],[Bullet]], Table13[[#All],[K_hit]], nil)</f>
        <v>0.28000000000000003</v>
      </c>
      <c r="G17" cm="1">
        <f t="array" ref="G17">_xlfn.XLOOKUP(E17, Table13[[#All],[Bullet]], Table13[[#All],[K_Ap]], nil)</f>
        <v>0.24</v>
      </c>
      <c r="H17">
        <v>0.4</v>
      </c>
      <c r="I17" t="s">
        <v>14</v>
      </c>
      <c r="J17" cm="1">
        <f t="array" ref="J17">_xlfn.XLOOKUP(I17, Table15[[#All],[Plate]], Table15[[#All],[Plate_BR]])</f>
        <v>0</v>
      </c>
      <c r="K17" s="1">
        <f>IF(N17="torso", H17+J17, H17)</f>
        <v>0.4</v>
      </c>
      <c r="L17" s="1">
        <f>IF(G17/K17&gt;1, 1, G17/K17)</f>
        <v>0.6</v>
      </c>
      <c r="M17" s="13">
        <v>0</v>
      </c>
      <c r="N17" s="8" t="s">
        <v>15</v>
      </c>
      <c r="O17" s="1" cm="1">
        <f t="array" ref="O17">_xlfn.XLOOKUP(Table1617[[#This Row],[Limb]], Table14[[#All],[Bdy_Part]], Table14[[#All],[Lmb_Mul]])</f>
        <v>1</v>
      </c>
      <c r="P17" s="1">
        <f>SUM(((F17*L17)*(1-M17))*O17)</f>
        <v>0.16800000000000001</v>
      </c>
      <c r="Q17" s="11">
        <f>ROUNDUP(1/P17,0)</f>
        <v>6</v>
      </c>
      <c r="X17" s="3"/>
      <c r="Y17" s="3"/>
      <c r="Z17" s="3"/>
      <c r="AA17" s="4"/>
      <c r="AB17" s="4"/>
      <c r="AC17" s="3"/>
      <c r="AD17" s="5"/>
      <c r="AE17" s="3"/>
      <c r="AF17" s="3"/>
      <c r="AG17" s="3"/>
      <c r="AH17" s="3"/>
      <c r="AI17" s="3"/>
      <c r="AJ17" s="3"/>
      <c r="AK17" s="3"/>
      <c r="AL17" s="3"/>
      <c r="AM17" s="3"/>
      <c r="AN17" s="3"/>
      <c r="AO17" s="3"/>
      <c r="AP17" s="4"/>
      <c r="AQ17" s="4"/>
      <c r="AR17" s="3"/>
      <c r="AS17" s="5"/>
      <c r="AT17" s="3"/>
      <c r="AU17" s="3"/>
      <c r="AV17" s="3"/>
      <c r="AW17" s="3"/>
      <c r="AX17" s="3"/>
    </row>
    <row r="18" spans="1:53" x14ac:dyDescent="0.25">
      <c r="A18" t="s">
        <v>36</v>
      </c>
      <c r="B18">
        <v>0.28799999999999998</v>
      </c>
      <c r="C18">
        <v>0.18</v>
      </c>
      <c r="E18" t="s">
        <v>44</v>
      </c>
      <c r="F18" cm="1">
        <f t="array" ref="F18">_xlfn.XLOOKUP(E18, Table13[[#All],[Bullet]], Table13[[#All],[K_hit]], nil)</f>
        <v>0.28000000000000003</v>
      </c>
      <c r="G18" cm="1">
        <f t="array" ref="G18">_xlfn.XLOOKUP(E18, Table13[[#All],[Bullet]], Table13[[#All],[K_Ap]], nil)</f>
        <v>0.24</v>
      </c>
      <c r="H18">
        <v>0.5</v>
      </c>
      <c r="I18" t="s">
        <v>14</v>
      </c>
      <c r="J18" cm="1">
        <f t="array" ref="J18">_xlfn.XLOOKUP(I18, Table15[[#All],[Plate]], Table15[[#All],[Plate_BR]])</f>
        <v>0</v>
      </c>
      <c r="K18" s="1">
        <f>IF(N18="torso", H18+J18, H18)</f>
        <v>0.5</v>
      </c>
      <c r="L18" s="1">
        <f>IF(G18/K18&gt;1, 1, G18/K18)</f>
        <v>0.48</v>
      </c>
      <c r="M18" s="13">
        <v>0</v>
      </c>
      <c r="N18" s="8" t="s">
        <v>15</v>
      </c>
      <c r="O18" s="1" cm="1">
        <f t="array" ref="O18">_xlfn.XLOOKUP(Table1617[[#This Row],[Limb]], Table14[[#All],[Bdy_Part]], Table14[[#All],[Lmb_Mul]])</f>
        <v>1</v>
      </c>
      <c r="P18" s="1">
        <f>SUM(((F18*L18)*(1-M18))*O18)</f>
        <v>0.13440000000000002</v>
      </c>
      <c r="Q18" s="11">
        <f>ROUNDUP(1/P18,0)</f>
        <v>8</v>
      </c>
      <c r="X18" s="3"/>
      <c r="Y18" s="3"/>
      <c r="Z18" s="3"/>
      <c r="AA18" s="4"/>
      <c r="AB18" s="4"/>
      <c r="AC18" s="3"/>
      <c r="AD18" s="5"/>
      <c r="AE18" s="3"/>
      <c r="AF18" s="3"/>
      <c r="AG18" s="3"/>
      <c r="AH18" s="3"/>
      <c r="AI18" s="3"/>
      <c r="AJ18" s="3"/>
      <c r="AK18" s="3"/>
      <c r="AL18" s="3"/>
      <c r="AM18" s="3"/>
      <c r="AN18" s="3"/>
      <c r="AO18" s="3"/>
      <c r="AP18" s="4"/>
      <c r="AQ18" s="4"/>
      <c r="AR18" s="3"/>
      <c r="AS18" s="5"/>
      <c r="AT18" s="3"/>
      <c r="AU18" s="3"/>
      <c r="AV18" s="3"/>
      <c r="AW18" s="3"/>
      <c r="AX18" s="3"/>
    </row>
    <row r="19" spans="1:53" x14ac:dyDescent="0.25">
      <c r="A19" t="s">
        <v>37</v>
      </c>
      <c r="B19">
        <v>0.28799999999999998</v>
      </c>
      <c r="C19">
        <v>0.18</v>
      </c>
      <c r="E19" t="s">
        <v>44</v>
      </c>
      <c r="F19" cm="1">
        <f t="array" ref="F19">_xlfn.XLOOKUP(E19, Table13[[#All],[Bullet]], Table13[[#All],[K_hit]], nil)</f>
        <v>0.28000000000000003</v>
      </c>
      <c r="G19" cm="1">
        <f t="array" ref="G19">_xlfn.XLOOKUP(E19, Table13[[#All],[Bullet]], Table13[[#All],[K_Ap]], nil)</f>
        <v>0.24</v>
      </c>
      <c r="H19">
        <v>0.6</v>
      </c>
      <c r="I19" t="s">
        <v>14</v>
      </c>
      <c r="J19" cm="1">
        <f t="array" ref="J19">_xlfn.XLOOKUP(I19, Table15[[#All],[Plate]], Table15[[#All],[Plate_BR]])</f>
        <v>0</v>
      </c>
      <c r="K19" s="1">
        <f>IF(N19="torso", H19+J19, H19)</f>
        <v>0.6</v>
      </c>
      <c r="L19" s="1">
        <f>IF(G19/K19&gt;1, 1, G19/K19)</f>
        <v>0.4</v>
      </c>
      <c r="M19" s="13">
        <v>0</v>
      </c>
      <c r="N19" s="8" t="s">
        <v>15</v>
      </c>
      <c r="O19" s="1" cm="1">
        <f t="array" ref="O19">_xlfn.XLOOKUP(Table1617[[#This Row],[Limb]], Table14[[#All],[Bdy_Part]], Table14[[#All],[Lmb_Mul]])</f>
        <v>1</v>
      </c>
      <c r="P19" s="1">
        <f>SUM(((F19*L19)*(1-M19))*O19)</f>
        <v>0.11200000000000002</v>
      </c>
      <c r="Q19" s="11">
        <f>ROUNDUP(1/P19,0)</f>
        <v>9</v>
      </c>
      <c r="X19" s="3"/>
      <c r="Y19" s="3"/>
      <c r="Z19" s="3"/>
      <c r="AA19" s="4"/>
      <c r="AB19" s="4"/>
      <c r="AC19" s="3"/>
      <c r="AD19" s="5"/>
      <c r="AE19" s="3"/>
      <c r="AF19" s="3"/>
      <c r="AG19" s="3"/>
      <c r="AH19" s="3"/>
      <c r="AI19" s="3"/>
      <c r="AJ19" s="3"/>
      <c r="AK19" s="3"/>
      <c r="AL19" s="3"/>
      <c r="AM19" s="3"/>
      <c r="AN19" s="3"/>
      <c r="AO19" s="3"/>
      <c r="AP19" s="4"/>
      <c r="AQ19" s="4"/>
      <c r="AR19" s="3"/>
      <c r="AS19" s="5"/>
      <c r="AT19" s="3"/>
      <c r="AU19" s="3"/>
      <c r="AV19" s="3"/>
      <c r="AW19" s="3"/>
      <c r="AX19" s="3"/>
    </row>
    <row r="20" spans="1:53" x14ac:dyDescent="0.25">
      <c r="A20" t="s">
        <v>38</v>
      </c>
      <c r="B20">
        <v>0.28000000000000003</v>
      </c>
      <c r="C20">
        <v>0.18</v>
      </c>
      <c r="E20" t="s">
        <v>44</v>
      </c>
      <c r="F20" cm="1">
        <f t="array" ref="F20">_xlfn.XLOOKUP(E20, Table13[[#All],[Bullet]], Table13[[#All],[K_hit]], nil)</f>
        <v>0.28000000000000003</v>
      </c>
      <c r="G20" cm="1">
        <f t="array" ref="G20">_xlfn.XLOOKUP(E20, Table13[[#All],[Bullet]], Table13[[#All],[K_Ap]], nil)</f>
        <v>0.24</v>
      </c>
      <c r="H20">
        <v>0.7</v>
      </c>
      <c r="I20" t="s">
        <v>14</v>
      </c>
      <c r="J20" cm="1">
        <f t="array" ref="J20">_xlfn.XLOOKUP(I20, Table15[[#All],[Plate]], Table15[[#All],[Plate_BR]])</f>
        <v>0</v>
      </c>
      <c r="K20" s="1">
        <f>IF(N20="torso", H20+J20, H20)</f>
        <v>0.7</v>
      </c>
      <c r="L20" s="1">
        <f>IF(G20/K20&gt;1, 1, G20/K20)</f>
        <v>0.34285714285714286</v>
      </c>
      <c r="M20" s="13">
        <v>0</v>
      </c>
      <c r="N20" s="8" t="s">
        <v>15</v>
      </c>
      <c r="O20" s="1" cm="1">
        <f t="array" ref="O20">_xlfn.XLOOKUP(Table1617[[#This Row],[Limb]], Table14[[#All],[Bdy_Part]], Table14[[#All],[Lmb_Mul]])</f>
        <v>1</v>
      </c>
      <c r="P20" s="1">
        <f>SUM(((F20*L20)*(1-M20))*O20)</f>
        <v>9.6000000000000016E-2</v>
      </c>
      <c r="Q20" s="11">
        <f>ROUNDUP(1/P20,0)</f>
        <v>11</v>
      </c>
      <c r="X20" s="3"/>
      <c r="Y20" s="3"/>
      <c r="Z20" s="3"/>
      <c r="AA20" s="4"/>
      <c r="AB20" s="4"/>
      <c r="AC20" s="3"/>
      <c r="AD20" s="5"/>
      <c r="AE20" s="3"/>
      <c r="AF20" s="3"/>
      <c r="AG20" s="3"/>
      <c r="AH20" s="3"/>
      <c r="AI20" s="3"/>
      <c r="AJ20" s="3"/>
      <c r="AK20" s="3"/>
      <c r="AL20" s="3"/>
      <c r="AM20" s="3"/>
      <c r="AN20" s="3"/>
      <c r="AO20" s="3"/>
      <c r="AP20" s="4"/>
      <c r="AQ20" s="4"/>
      <c r="AR20" s="3"/>
      <c r="AS20" s="5"/>
      <c r="AT20" s="3"/>
      <c r="AU20" s="3"/>
      <c r="AV20" s="3"/>
      <c r="AW20" s="3"/>
      <c r="AX20" s="3"/>
    </row>
    <row r="21" spans="1:53" x14ac:dyDescent="0.25">
      <c r="A21" t="s">
        <v>39</v>
      </c>
      <c r="B21">
        <v>0.28000000000000003</v>
      </c>
      <c r="C21">
        <v>0.18</v>
      </c>
      <c r="E21" t="s">
        <v>44</v>
      </c>
      <c r="F21" cm="1">
        <f t="array" ref="F21">_xlfn.XLOOKUP(E21, Table13[[#All],[Bullet]], Table13[[#All],[K_hit]], nil)</f>
        <v>0.28000000000000003</v>
      </c>
      <c r="G21" cm="1">
        <f t="array" ref="G21">_xlfn.XLOOKUP(E21, Table13[[#All],[Bullet]], Table13[[#All],[K_Ap]], nil)</f>
        <v>0.24</v>
      </c>
      <c r="H21">
        <v>0.8</v>
      </c>
      <c r="I21" t="s">
        <v>14</v>
      </c>
      <c r="J21" cm="1">
        <f t="array" ref="J21">_xlfn.XLOOKUP(I21, Table15[[#All],[Plate]], Table15[[#All],[Plate_BR]])</f>
        <v>0</v>
      </c>
      <c r="K21" s="1">
        <f>IF(N21="torso", H21+J21, H21)</f>
        <v>0.8</v>
      </c>
      <c r="L21" s="1">
        <f>IF(G21/K21&gt;1, 1, G21/K21)</f>
        <v>0.3</v>
      </c>
      <c r="M21" s="13">
        <v>0</v>
      </c>
      <c r="N21" s="8" t="s">
        <v>15</v>
      </c>
      <c r="O21" s="1" cm="1">
        <f t="array" ref="O21">_xlfn.XLOOKUP(Table1617[[#This Row],[Limb]], Table14[[#All],[Bdy_Part]], Table14[[#All],[Lmb_Mul]])</f>
        <v>1</v>
      </c>
      <c r="P21" s="1">
        <f>SUM(((F21*L21)*(1-M21))*O21)</f>
        <v>8.4000000000000005E-2</v>
      </c>
      <c r="Q21" s="11">
        <f>ROUNDUP(1/P21,0)</f>
        <v>12</v>
      </c>
      <c r="X21" s="3"/>
      <c r="Y21" s="3"/>
      <c r="Z21" s="3"/>
      <c r="AA21" s="4"/>
      <c r="AB21" s="4"/>
      <c r="AC21" s="3"/>
      <c r="AD21" s="5"/>
      <c r="AE21" s="3"/>
      <c r="AF21" s="3"/>
      <c r="AG21" s="3"/>
      <c r="AH21" s="3"/>
      <c r="AI21" s="3"/>
      <c r="AJ21" s="3"/>
      <c r="AK21" s="3"/>
      <c r="AL21" s="3"/>
      <c r="AM21" s="3"/>
      <c r="AN21" s="3"/>
      <c r="AO21" s="3"/>
      <c r="AP21" s="4"/>
      <c r="AQ21" s="4"/>
      <c r="AR21" s="3"/>
      <c r="AS21" s="5"/>
      <c r="AT21" s="3"/>
      <c r="AU21" s="3"/>
      <c r="AV21" s="3"/>
      <c r="AW21" s="3"/>
      <c r="AX21" s="3"/>
    </row>
    <row r="22" spans="1:53" x14ac:dyDescent="0.25">
      <c r="A22" t="s">
        <v>40</v>
      </c>
      <c r="B22">
        <v>0.28000000000000003</v>
      </c>
      <c r="C22">
        <v>0.18</v>
      </c>
      <c r="E22" t="s">
        <v>44</v>
      </c>
      <c r="F22" cm="1">
        <f t="array" ref="F22">_xlfn.XLOOKUP(E22, Table13[[#All],[Bullet]], Table13[[#All],[K_hit]], nil)</f>
        <v>0.28000000000000003</v>
      </c>
      <c r="G22" cm="1">
        <f t="array" ref="G22">_xlfn.XLOOKUP(E22, Table13[[#All],[Bullet]], Table13[[#All],[K_Ap]], nil)</f>
        <v>0.24</v>
      </c>
      <c r="H22">
        <v>0.9</v>
      </c>
      <c r="I22" t="s">
        <v>14</v>
      </c>
      <c r="J22" cm="1">
        <f t="array" ref="J22">_xlfn.XLOOKUP(I22, Table15[[#All],[Plate]], Table15[[#All],[Plate_BR]])</f>
        <v>0</v>
      </c>
      <c r="K22" s="1">
        <f>IF(N22="torso", H22+J22, H22)</f>
        <v>0.9</v>
      </c>
      <c r="L22" s="1">
        <f>IF(G22/K22&gt;1, 1, G22/K22)</f>
        <v>0.26666666666666666</v>
      </c>
      <c r="M22" s="13">
        <v>0</v>
      </c>
      <c r="N22" s="8" t="s">
        <v>15</v>
      </c>
      <c r="O22" s="1" cm="1">
        <f t="array" ref="O22">_xlfn.XLOOKUP(Table1617[[#This Row],[Limb]], Table14[[#All],[Bdy_Part]], Table14[[#All],[Lmb_Mul]])</f>
        <v>1</v>
      </c>
      <c r="P22" s="1">
        <f>SUM(((F22*L22)*(1-M22))*O22)</f>
        <v>7.4666666666666673E-2</v>
      </c>
      <c r="Q22" s="11">
        <f>ROUNDUP(1/P22,0)</f>
        <v>14</v>
      </c>
      <c r="X22" s="3"/>
      <c r="Y22" s="3"/>
      <c r="Z22" s="3"/>
      <c r="AA22" s="4"/>
      <c r="AB22" s="4"/>
      <c r="AC22" s="3"/>
      <c r="AD22" s="5"/>
      <c r="AE22" s="3"/>
      <c r="AF22" s="3"/>
      <c r="AG22" s="3"/>
      <c r="AH22" s="3"/>
      <c r="AI22" s="3"/>
      <c r="AJ22" s="3"/>
      <c r="AK22" s="3"/>
      <c r="AL22" s="3"/>
      <c r="AM22" s="3"/>
      <c r="AN22" s="3"/>
      <c r="AO22" s="3"/>
      <c r="AP22" s="4"/>
      <c r="AQ22" s="4"/>
      <c r="AR22" s="3"/>
      <c r="AS22" s="5"/>
      <c r="AT22" s="3"/>
      <c r="AU22" s="3"/>
      <c r="AV22" s="3"/>
      <c r="AW22" s="3"/>
      <c r="AX22" s="3"/>
    </row>
    <row r="23" spans="1:53" x14ac:dyDescent="0.25">
      <c r="A23" t="s">
        <v>41</v>
      </c>
      <c r="B23">
        <v>0.224</v>
      </c>
      <c r="C23">
        <v>0.26</v>
      </c>
      <c r="E23" t="s">
        <v>44</v>
      </c>
      <c r="F23" cm="1">
        <f t="array" ref="F23">_xlfn.XLOOKUP(E23, Table13[[#All],[Bullet]], Table13[[#All],[K_hit]], nil)</f>
        <v>0.28000000000000003</v>
      </c>
      <c r="G23" cm="1">
        <f t="array" ref="G23">_xlfn.XLOOKUP(E23, Table13[[#All],[Bullet]], Table13[[#All],[K_Ap]], nil)</f>
        <v>0.24</v>
      </c>
      <c r="H23">
        <v>1</v>
      </c>
      <c r="I23" t="s">
        <v>14</v>
      </c>
      <c r="J23" cm="1">
        <f t="array" ref="J23">_xlfn.XLOOKUP(I23, Table15[[#All],[Plate]], Table15[[#All],[Plate_BR]])</f>
        <v>0</v>
      </c>
      <c r="K23" s="1">
        <f>IF(N23="torso", H23+J23, H23)</f>
        <v>1</v>
      </c>
      <c r="L23" s="1">
        <f>IF(G23/K23&gt;1, 1, G23/K23)</f>
        <v>0.24</v>
      </c>
      <c r="M23" s="13">
        <v>0</v>
      </c>
      <c r="N23" s="8" t="s">
        <v>15</v>
      </c>
      <c r="O23" s="1" cm="1">
        <f t="array" ref="O23">_xlfn.XLOOKUP(Table1617[[#This Row],[Limb]], Table14[[#All],[Bdy_Part]], Table14[[#All],[Lmb_Mul]])</f>
        <v>1</v>
      </c>
      <c r="P23" s="1">
        <f>SUM(((F23*L23)*(1-M23))*O23)</f>
        <v>6.720000000000001E-2</v>
      </c>
      <c r="Q23" s="11">
        <f>ROUNDUP(1/P23,0)</f>
        <v>15</v>
      </c>
      <c r="X23" s="3"/>
      <c r="Y23" s="3"/>
      <c r="Z23" s="3"/>
      <c r="AA23" s="4"/>
      <c r="AB23" s="4"/>
      <c r="AC23" s="3"/>
      <c r="AD23" s="5"/>
      <c r="AE23" s="3"/>
      <c r="AF23" s="3"/>
      <c r="AG23" s="3"/>
      <c r="AH23" s="3"/>
      <c r="AI23" s="3"/>
      <c r="AJ23" s="3"/>
      <c r="AK23" s="3"/>
      <c r="AL23" s="3"/>
      <c r="AM23" s="3"/>
      <c r="AN23" s="3"/>
      <c r="AO23" s="3"/>
      <c r="AP23" s="4"/>
      <c r="AQ23" s="4"/>
      <c r="AR23" s="3"/>
      <c r="AS23" s="5"/>
      <c r="AT23" s="3"/>
      <c r="AU23" s="3"/>
      <c r="AV23" s="3"/>
      <c r="AW23" s="3"/>
      <c r="AX23" s="3"/>
    </row>
    <row r="24" spans="1:53" x14ac:dyDescent="0.25">
      <c r="A24" t="s">
        <v>42</v>
      </c>
      <c r="B24">
        <v>0.224</v>
      </c>
      <c r="C24">
        <v>0.26</v>
      </c>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row>
    <row r="25" spans="1:53" x14ac:dyDescent="0.25">
      <c r="A25" t="s">
        <v>43</v>
      </c>
      <c r="B25">
        <v>0.224</v>
      </c>
      <c r="C25">
        <v>0.26</v>
      </c>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row>
    <row r="26" spans="1:53" x14ac:dyDescent="0.25">
      <c r="A26" t="s">
        <v>13</v>
      </c>
      <c r="B26">
        <v>0.36</v>
      </c>
      <c r="C26">
        <v>0.08</v>
      </c>
      <c r="E26" t="s">
        <v>6</v>
      </c>
      <c r="F26" t="s">
        <v>7</v>
      </c>
      <c r="H26" t="s">
        <v>68</v>
      </c>
      <c r="I26" t="s">
        <v>69</v>
      </c>
      <c r="O26" s="1"/>
      <c r="P26" s="1"/>
      <c r="R26" s="2"/>
      <c r="AA26" s="3"/>
      <c r="AB26" s="3"/>
      <c r="AC26" s="3"/>
      <c r="AD26" s="4"/>
      <c r="AE26" s="4"/>
      <c r="AF26" s="3"/>
      <c r="AG26" s="5"/>
      <c r="AH26" s="3"/>
      <c r="AI26" s="3"/>
      <c r="AJ26" s="3"/>
      <c r="AK26" s="3"/>
      <c r="AL26" s="3"/>
      <c r="AM26" s="3"/>
      <c r="AN26" s="3"/>
      <c r="AO26" s="3"/>
      <c r="AP26" s="3"/>
      <c r="AQ26" s="3"/>
      <c r="AR26" s="3"/>
      <c r="AS26" s="4"/>
      <c r="AT26" s="4"/>
      <c r="AU26" s="3"/>
      <c r="AV26" s="5"/>
      <c r="AW26" s="3"/>
      <c r="AX26" s="3"/>
      <c r="AY26" s="3"/>
      <c r="AZ26" s="3"/>
      <c r="BA26" s="3"/>
    </row>
    <row r="27" spans="1:53" x14ac:dyDescent="0.25">
      <c r="A27" t="s">
        <v>46</v>
      </c>
      <c r="B27">
        <v>0.36</v>
      </c>
      <c r="C27">
        <v>0.08</v>
      </c>
      <c r="E27" t="s">
        <v>14</v>
      </c>
      <c r="F27">
        <v>0</v>
      </c>
      <c r="H27" t="s">
        <v>71</v>
      </c>
      <c r="I27">
        <v>2</v>
      </c>
      <c r="K27" s="3"/>
      <c r="L27" s="3"/>
      <c r="M27" s="3"/>
      <c r="N27" s="3"/>
      <c r="O27" s="4"/>
      <c r="P27" s="4"/>
      <c r="Q27" s="3"/>
      <c r="R27" s="5"/>
      <c r="S27" s="3"/>
      <c r="T27" s="3"/>
      <c r="U27" s="3"/>
      <c r="V27" s="3"/>
      <c r="W27" s="3"/>
      <c r="X27" s="3"/>
      <c r="Y27" s="3"/>
      <c r="Z27" s="3"/>
      <c r="AA27" s="3"/>
      <c r="AB27" s="3"/>
      <c r="AC27" s="3"/>
      <c r="AD27" s="4"/>
      <c r="AE27" s="4"/>
      <c r="AF27" s="3"/>
      <c r="AG27" s="5"/>
      <c r="AH27" s="3"/>
      <c r="AI27" s="3"/>
      <c r="AJ27" s="3"/>
      <c r="AK27" s="3"/>
      <c r="AL27" s="3"/>
      <c r="AM27" s="3"/>
      <c r="AN27" s="3"/>
      <c r="AO27" s="3"/>
      <c r="AP27" s="3"/>
      <c r="AQ27" s="3"/>
      <c r="AR27" s="3"/>
      <c r="AS27" s="4"/>
      <c r="AT27" s="4"/>
      <c r="AU27" s="3"/>
      <c r="AV27" s="5"/>
      <c r="AW27" s="3"/>
      <c r="AX27" s="3"/>
      <c r="AY27" s="3"/>
      <c r="AZ27" s="3"/>
      <c r="BA27" s="3"/>
    </row>
    <row r="28" spans="1:53" x14ac:dyDescent="0.25">
      <c r="A28" t="s">
        <v>47</v>
      </c>
      <c r="B28">
        <v>0.36</v>
      </c>
      <c r="C28">
        <v>0.08</v>
      </c>
      <c r="E28" t="s">
        <v>73</v>
      </c>
      <c r="F28">
        <v>0.04</v>
      </c>
      <c r="H28" t="s">
        <v>15</v>
      </c>
      <c r="I28">
        <v>1</v>
      </c>
      <c r="K28" s="3"/>
      <c r="L28" s="3"/>
      <c r="M28" s="3"/>
      <c r="N28" s="3"/>
      <c r="O28" s="4"/>
      <c r="P28" s="4"/>
      <c r="Q28" s="3"/>
      <c r="R28" s="5"/>
      <c r="S28" s="3"/>
      <c r="T28" s="3"/>
      <c r="U28" s="3"/>
      <c r="V28" s="3"/>
      <c r="W28" s="3"/>
      <c r="X28" s="3"/>
      <c r="Y28" s="3"/>
      <c r="Z28" s="3"/>
      <c r="AA28" s="3"/>
      <c r="AB28" s="3"/>
      <c r="AC28" s="3"/>
      <c r="AD28" s="4"/>
      <c r="AE28" s="4"/>
      <c r="AF28" s="3"/>
      <c r="AG28" s="5"/>
      <c r="AH28" s="3"/>
      <c r="AI28" s="3"/>
      <c r="AJ28" s="3"/>
      <c r="AK28" s="3"/>
      <c r="AL28" s="3"/>
      <c r="AM28" s="3"/>
      <c r="AN28" s="3"/>
      <c r="AO28" s="3"/>
      <c r="AP28" s="3"/>
      <c r="AQ28" s="3"/>
      <c r="AR28" s="3"/>
      <c r="AS28" s="4"/>
      <c r="AT28" s="4"/>
      <c r="AU28" s="3"/>
      <c r="AV28" s="5"/>
      <c r="AW28" s="3"/>
      <c r="AX28" s="3"/>
      <c r="AY28" s="3"/>
      <c r="AZ28" s="3"/>
      <c r="BA28" s="3"/>
    </row>
    <row r="29" spans="1:53" x14ac:dyDescent="0.25">
      <c r="A29" t="s">
        <v>16</v>
      </c>
      <c r="B29">
        <v>0.28799999999999998</v>
      </c>
      <c r="C29">
        <v>0.12</v>
      </c>
      <c r="E29" t="s">
        <v>75</v>
      </c>
      <c r="F29">
        <v>0.06</v>
      </c>
      <c r="H29" t="s">
        <v>76</v>
      </c>
      <c r="I29">
        <v>0.7</v>
      </c>
      <c r="K29" s="3"/>
      <c r="L29" s="3"/>
      <c r="M29" s="3"/>
      <c r="N29" s="3"/>
      <c r="O29" s="4"/>
      <c r="P29" s="4"/>
      <c r="Q29" s="3"/>
      <c r="R29" s="5"/>
      <c r="S29" s="3"/>
      <c r="T29" s="3"/>
      <c r="U29" s="3"/>
      <c r="V29" s="3"/>
      <c r="W29" s="3"/>
      <c r="X29" s="3"/>
      <c r="Y29" s="3"/>
      <c r="Z29" s="3"/>
      <c r="AA29" s="3"/>
      <c r="AB29" s="3"/>
      <c r="AC29" s="3"/>
      <c r="AD29" s="4"/>
      <c r="AE29" s="4"/>
      <c r="AF29" s="3"/>
      <c r="AG29" s="5"/>
      <c r="AH29" s="3"/>
      <c r="AI29" s="3"/>
      <c r="AJ29" s="3"/>
      <c r="AK29" s="3"/>
      <c r="AL29" s="3"/>
      <c r="AM29" s="3"/>
      <c r="AN29" s="3"/>
      <c r="AO29" s="3"/>
      <c r="AP29" s="3"/>
      <c r="AQ29" s="3"/>
      <c r="AR29" s="3"/>
      <c r="AS29" s="4"/>
      <c r="AT29" s="4"/>
      <c r="AU29" s="3"/>
      <c r="AV29" s="5"/>
      <c r="AW29" s="3"/>
      <c r="AX29" s="3"/>
      <c r="AY29" s="3"/>
      <c r="AZ29" s="3"/>
      <c r="BA29" s="3"/>
    </row>
    <row r="30" spans="1:53" x14ac:dyDescent="0.25">
      <c r="A30" t="s">
        <v>48</v>
      </c>
      <c r="B30">
        <v>0.28799999999999998</v>
      </c>
      <c r="C30">
        <v>0.12</v>
      </c>
      <c r="E30" t="s">
        <v>78</v>
      </c>
      <c r="F30">
        <v>0.08</v>
      </c>
      <c r="K30" s="3"/>
      <c r="L30" s="3"/>
      <c r="M30" s="3"/>
      <c r="N30" s="3"/>
      <c r="O30" s="4"/>
      <c r="P30" s="4"/>
      <c r="Q30" s="3"/>
      <c r="R30" s="5"/>
      <c r="S30" s="3"/>
      <c r="T30" s="3"/>
      <c r="U30" s="3"/>
      <c r="V30" s="3"/>
      <c r="W30" s="3"/>
      <c r="X30" s="3"/>
      <c r="Y30" s="3"/>
      <c r="Z30" s="3"/>
      <c r="AA30" s="3"/>
      <c r="AB30" s="3"/>
      <c r="AC30" s="3"/>
      <c r="AD30" s="4"/>
      <c r="AE30" s="4"/>
      <c r="AF30" s="3"/>
      <c r="AG30" s="5"/>
      <c r="AH30" s="3"/>
      <c r="AI30" s="3"/>
      <c r="AJ30" s="3"/>
      <c r="AK30" s="3"/>
      <c r="AL30" s="3"/>
      <c r="AM30" s="3"/>
      <c r="AN30" s="3"/>
      <c r="AO30" s="3"/>
      <c r="AP30" s="3"/>
      <c r="AQ30" s="3"/>
      <c r="AR30" s="3"/>
      <c r="AS30" s="4"/>
      <c r="AT30" s="4"/>
      <c r="AU30" s="3"/>
      <c r="AV30" s="5"/>
      <c r="AW30" s="3"/>
      <c r="AX30" s="3"/>
      <c r="AY30" s="3"/>
      <c r="AZ30" s="3"/>
      <c r="BA30" s="3"/>
    </row>
    <row r="31" spans="1:53" x14ac:dyDescent="0.25">
      <c r="A31" t="s">
        <v>49</v>
      </c>
      <c r="B31">
        <v>0.28799999999999998</v>
      </c>
      <c r="C31">
        <v>0.12</v>
      </c>
      <c r="E31" t="s">
        <v>80</v>
      </c>
      <c r="F31">
        <v>0.1</v>
      </c>
      <c r="K31" s="3"/>
      <c r="L31" s="3"/>
      <c r="M31" s="3"/>
      <c r="N31" s="3"/>
      <c r="O31" s="4"/>
      <c r="P31" s="4"/>
      <c r="Q31" s="3"/>
      <c r="R31" s="5"/>
      <c r="S31" s="3"/>
      <c r="T31" s="3"/>
      <c r="U31" s="3"/>
      <c r="V31" s="3"/>
      <c r="W31" s="3"/>
      <c r="X31" s="3"/>
      <c r="Y31" s="3"/>
      <c r="Z31" s="3"/>
      <c r="AA31" s="3"/>
      <c r="AB31" s="3"/>
      <c r="AC31" s="3"/>
      <c r="AD31" s="4"/>
      <c r="AE31" s="4"/>
      <c r="AF31" s="3"/>
      <c r="AG31" s="5"/>
      <c r="AH31" s="3"/>
      <c r="AI31" s="3"/>
      <c r="AJ31" s="3"/>
      <c r="AK31" s="3"/>
      <c r="AL31" s="3"/>
      <c r="AM31" s="3"/>
      <c r="AN31" s="3"/>
      <c r="AO31" s="3"/>
      <c r="AP31" s="3"/>
      <c r="AQ31" s="3"/>
      <c r="AR31" s="3"/>
      <c r="AS31" s="4"/>
      <c r="AT31" s="4"/>
      <c r="AU31" s="3"/>
      <c r="AV31" s="5"/>
      <c r="AW31" s="3"/>
      <c r="AX31" s="3"/>
      <c r="AY31" s="3"/>
      <c r="AZ31" s="3"/>
      <c r="BA31" s="3"/>
    </row>
    <row r="32" spans="1:53" ht="15.75" thickBot="1" x14ac:dyDescent="0.3">
      <c r="A32" t="s">
        <v>50</v>
      </c>
      <c r="B32">
        <v>0.51</v>
      </c>
      <c r="C32">
        <v>7.0000000000000007E-2</v>
      </c>
      <c r="J32" s="8"/>
      <c r="K32" s="9"/>
      <c r="L32" s="9"/>
      <c r="M32" s="9"/>
      <c r="N32" s="9"/>
      <c r="O32" s="9"/>
      <c r="P32" s="9"/>
      <c r="Q32" s="9"/>
      <c r="R32" s="9"/>
      <c r="S32" s="9"/>
      <c r="T32" s="9"/>
      <c r="U32" s="9"/>
      <c r="V32" s="3"/>
      <c r="W32" s="3"/>
      <c r="X32" s="3"/>
      <c r="Y32" s="3"/>
      <c r="Z32" s="3"/>
      <c r="AA32" s="3"/>
      <c r="AB32" s="3"/>
      <c r="AC32" s="3"/>
      <c r="AD32" s="4"/>
      <c r="AE32" s="4"/>
      <c r="AF32" s="3"/>
      <c r="AG32" s="5"/>
      <c r="AH32" s="3"/>
      <c r="AI32" s="3"/>
      <c r="AJ32" s="3"/>
      <c r="AK32" s="3"/>
      <c r="AL32" s="3"/>
      <c r="AM32" s="3"/>
      <c r="AN32" s="3"/>
      <c r="AO32" s="3"/>
      <c r="AP32" s="3"/>
      <c r="AQ32" s="3"/>
      <c r="AR32" s="3"/>
      <c r="AS32" s="4"/>
      <c r="AT32" s="4"/>
      <c r="AU32" s="3"/>
      <c r="AV32" s="5"/>
      <c r="AW32" s="3"/>
      <c r="AX32" s="3"/>
      <c r="AY32" s="3"/>
      <c r="AZ32" s="3"/>
      <c r="BA32" s="3"/>
    </row>
    <row r="33" spans="1:53" ht="15.75" thickBot="1" x14ac:dyDescent="0.3">
      <c r="A33" t="s">
        <v>51</v>
      </c>
      <c r="B33">
        <v>0.51</v>
      </c>
      <c r="C33">
        <v>7.0000000000000007E-2</v>
      </c>
      <c r="E33" s="24" t="s">
        <v>162</v>
      </c>
      <c r="F33" s="25"/>
      <c r="G33" s="25"/>
      <c r="H33" s="25"/>
      <c r="I33" s="25"/>
      <c r="J33" s="25"/>
      <c r="K33" s="25"/>
      <c r="L33" s="25"/>
      <c r="M33" s="25"/>
      <c r="N33" s="25"/>
      <c r="O33" s="25"/>
      <c r="P33" s="25"/>
      <c r="Q33" s="26"/>
      <c r="R33" s="9"/>
      <c r="S33" s="9"/>
      <c r="T33" s="9"/>
      <c r="U33" s="9"/>
      <c r="V33" s="3"/>
      <c r="W33" s="3"/>
      <c r="X33" s="3"/>
      <c r="Y33" s="3"/>
      <c r="Z33" s="3"/>
      <c r="AA33" s="3"/>
      <c r="AB33" s="3"/>
      <c r="AC33" s="3"/>
      <c r="AD33" s="4"/>
      <c r="AE33" s="4"/>
      <c r="AF33" s="3"/>
      <c r="AG33" s="5"/>
      <c r="AH33" s="3"/>
      <c r="AI33" s="3"/>
      <c r="AJ33" s="3"/>
      <c r="AK33" s="3"/>
      <c r="AL33" s="3"/>
      <c r="AM33" s="3"/>
      <c r="AN33" s="3"/>
      <c r="AO33" s="3"/>
      <c r="AP33" s="3"/>
      <c r="AQ33" s="3"/>
      <c r="AR33" s="3"/>
      <c r="AS33" s="4"/>
      <c r="AT33" s="4"/>
      <c r="AU33" s="3"/>
      <c r="AV33" s="5"/>
      <c r="AW33" s="3"/>
      <c r="AX33" s="3"/>
      <c r="AY33" s="3"/>
      <c r="AZ33" s="3"/>
      <c r="BA33" s="3"/>
    </row>
    <row r="34" spans="1:53" x14ac:dyDescent="0.25">
      <c r="A34" t="s">
        <v>52</v>
      </c>
      <c r="B34">
        <v>0.51</v>
      </c>
      <c r="C34">
        <v>7.0000000000000007E-2</v>
      </c>
      <c r="E34" s="21" t="s">
        <v>163</v>
      </c>
      <c r="F34" s="22"/>
      <c r="G34" s="22"/>
      <c r="H34" s="22"/>
      <c r="I34" s="22"/>
      <c r="J34" s="22"/>
      <c r="K34" s="22"/>
      <c r="L34" s="22"/>
      <c r="M34" s="22"/>
      <c r="N34" s="22"/>
      <c r="O34" s="22"/>
      <c r="P34" s="22"/>
      <c r="Q34" s="23"/>
      <c r="R34" s="9"/>
      <c r="S34" s="9"/>
      <c r="T34" s="9"/>
      <c r="U34" s="9"/>
      <c r="V34" s="3"/>
      <c r="W34" s="3"/>
      <c r="X34" s="3"/>
      <c r="Y34" s="3"/>
      <c r="Z34" s="3"/>
      <c r="AA34" s="3"/>
      <c r="AB34" s="3"/>
      <c r="AC34" s="3"/>
      <c r="AD34" s="4"/>
      <c r="AE34" s="4"/>
      <c r="AF34" s="3"/>
      <c r="AG34" s="5"/>
      <c r="AH34" s="3"/>
      <c r="AI34" s="3"/>
      <c r="AJ34" s="3"/>
      <c r="AK34" s="3"/>
      <c r="AL34" s="3"/>
      <c r="AM34" s="3"/>
      <c r="AN34" s="3"/>
      <c r="AO34" s="3"/>
      <c r="AP34" s="3"/>
      <c r="AQ34" s="3"/>
      <c r="AR34" s="3"/>
      <c r="AS34" s="4"/>
      <c r="AT34" s="4"/>
      <c r="AU34" s="3"/>
      <c r="AV34" s="5"/>
      <c r="AW34" s="3"/>
      <c r="AX34" s="3"/>
      <c r="AY34" s="3"/>
      <c r="AZ34" s="3"/>
      <c r="BA34" s="3"/>
    </row>
    <row r="35" spans="1:53" x14ac:dyDescent="0.25">
      <c r="A35" t="s">
        <v>53</v>
      </c>
      <c r="B35">
        <v>0.66300000000000003</v>
      </c>
      <c r="C35">
        <v>0.03</v>
      </c>
      <c r="E35" s="17"/>
      <c r="F35" s="14"/>
      <c r="G35" s="14"/>
      <c r="H35" s="14"/>
      <c r="I35" s="14"/>
      <c r="J35" s="14"/>
      <c r="K35" s="14"/>
      <c r="L35" s="14"/>
      <c r="M35" s="14"/>
      <c r="N35" s="14"/>
      <c r="O35" s="14"/>
      <c r="P35" s="14"/>
      <c r="Q35" s="16"/>
      <c r="R35" s="9"/>
      <c r="S35" s="9"/>
      <c r="T35" s="9"/>
      <c r="U35" s="9"/>
      <c r="V35" s="3"/>
      <c r="W35" s="3"/>
      <c r="X35" s="3"/>
      <c r="Y35" s="3"/>
      <c r="Z35" s="3"/>
      <c r="AA35" s="3"/>
      <c r="AB35" s="3"/>
      <c r="AC35" s="3"/>
      <c r="AD35" s="4"/>
      <c r="AE35" s="4"/>
      <c r="AF35" s="3"/>
      <c r="AG35" s="5"/>
      <c r="AH35" s="3"/>
      <c r="AI35" s="3"/>
      <c r="AJ35" s="3"/>
      <c r="AK35" s="3"/>
      <c r="AL35" s="3"/>
      <c r="AM35" s="3"/>
      <c r="AN35" s="3"/>
      <c r="AO35" s="3"/>
      <c r="AP35" s="3"/>
      <c r="AQ35" s="3"/>
      <c r="AR35" s="3"/>
      <c r="AS35" s="4"/>
      <c r="AT35" s="4"/>
      <c r="AU35" s="3"/>
      <c r="AV35" s="5"/>
      <c r="AW35" s="3"/>
      <c r="AX35" s="3"/>
      <c r="AY35" s="3"/>
      <c r="AZ35" s="3"/>
      <c r="BA35" s="3"/>
    </row>
    <row r="36" spans="1:53" x14ac:dyDescent="0.25">
      <c r="A36" t="s">
        <v>54</v>
      </c>
      <c r="B36">
        <v>0.66300000000000003</v>
      </c>
      <c r="C36">
        <v>0.03</v>
      </c>
      <c r="E36" s="17"/>
      <c r="F36" s="14"/>
      <c r="G36" s="14"/>
      <c r="H36" s="14"/>
      <c r="I36" s="14"/>
      <c r="J36" s="14"/>
      <c r="K36" s="14"/>
      <c r="L36" s="14"/>
      <c r="M36" s="14"/>
      <c r="N36" s="14"/>
      <c r="O36" s="14"/>
      <c r="P36" s="14"/>
      <c r="Q36" s="16"/>
      <c r="R36" s="9"/>
      <c r="S36" s="9"/>
      <c r="T36" s="9"/>
      <c r="U36" s="9"/>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row>
    <row r="37" spans="1:53" x14ac:dyDescent="0.25">
      <c r="A37" t="s">
        <v>55</v>
      </c>
      <c r="B37">
        <v>0.66300000000000003</v>
      </c>
      <c r="C37">
        <v>0.03</v>
      </c>
      <c r="E37" s="17"/>
      <c r="F37" s="14"/>
      <c r="G37" s="14"/>
      <c r="H37" s="14"/>
      <c r="I37" s="14"/>
      <c r="J37" s="14"/>
      <c r="K37" s="14"/>
      <c r="L37" s="14"/>
      <c r="M37" s="14"/>
      <c r="N37" s="14"/>
      <c r="O37" s="14"/>
      <c r="P37" s="14"/>
      <c r="Q37" s="16"/>
      <c r="R37" s="9"/>
      <c r="S37" s="9"/>
      <c r="T37" s="9"/>
      <c r="U37" s="9"/>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row>
    <row r="38" spans="1:53" x14ac:dyDescent="0.25">
      <c r="A38" t="s">
        <v>44</v>
      </c>
      <c r="B38">
        <v>0.28000000000000003</v>
      </c>
      <c r="C38">
        <v>0.24</v>
      </c>
      <c r="E38" s="17"/>
      <c r="F38" s="14"/>
      <c r="G38" s="14"/>
      <c r="H38" s="14"/>
      <c r="I38" s="14"/>
      <c r="J38" s="14"/>
      <c r="K38" s="14"/>
      <c r="L38" s="14"/>
      <c r="M38" s="14"/>
      <c r="N38" s="14"/>
      <c r="O38" s="14"/>
      <c r="P38" s="14"/>
      <c r="Q38" s="16"/>
      <c r="R38" s="9"/>
      <c r="S38" s="9"/>
      <c r="T38" s="9"/>
      <c r="U38" s="9"/>
      <c r="V38" s="3"/>
      <c r="W38" s="3"/>
      <c r="X38" s="3"/>
      <c r="Y38" s="3"/>
      <c r="Z38" s="3"/>
      <c r="AA38" s="3"/>
      <c r="AB38" s="3"/>
      <c r="AC38" s="3"/>
      <c r="AD38" s="4"/>
      <c r="AE38" s="4"/>
      <c r="AF38" s="3"/>
      <c r="AG38" s="5"/>
      <c r="AH38" s="3"/>
      <c r="AI38" s="3"/>
      <c r="AJ38" s="3"/>
      <c r="AK38" s="3"/>
      <c r="AL38" s="3"/>
      <c r="AM38" s="3"/>
      <c r="AN38" s="3"/>
      <c r="AO38" s="3"/>
      <c r="AP38" s="3"/>
      <c r="AQ38" s="3"/>
      <c r="AR38" s="3"/>
      <c r="AS38" s="4"/>
      <c r="AT38" s="4"/>
      <c r="AU38" s="3"/>
      <c r="AV38" s="5"/>
      <c r="AW38" s="3"/>
      <c r="AX38" s="3"/>
      <c r="AY38" s="3"/>
      <c r="AZ38" s="3"/>
      <c r="BA38" s="3"/>
    </row>
    <row r="39" spans="1:53" x14ac:dyDescent="0.25">
      <c r="A39" t="s">
        <v>59</v>
      </c>
      <c r="B39">
        <v>0.28000000000000003</v>
      </c>
      <c r="C39">
        <v>0.24</v>
      </c>
      <c r="E39" s="17"/>
      <c r="F39" s="14"/>
      <c r="G39" s="14"/>
      <c r="H39" s="14"/>
      <c r="I39" s="14"/>
      <c r="J39" s="14"/>
      <c r="K39" s="14"/>
      <c r="L39" s="14"/>
      <c r="M39" s="14"/>
      <c r="N39" s="14"/>
      <c r="O39" s="14"/>
      <c r="P39" s="14"/>
      <c r="Q39" s="16"/>
      <c r="R39" s="9"/>
      <c r="S39" s="9"/>
      <c r="T39" s="9"/>
      <c r="U39" s="9"/>
      <c r="V39" s="3"/>
      <c r="W39" s="3"/>
      <c r="X39" s="3"/>
      <c r="Y39" s="3"/>
      <c r="Z39" s="3"/>
      <c r="AA39" s="3"/>
      <c r="AB39" s="3"/>
      <c r="AC39" s="3"/>
      <c r="AD39" s="4"/>
      <c r="AE39" s="4"/>
      <c r="AF39" s="3"/>
      <c r="AG39" s="5"/>
      <c r="AH39" s="3"/>
      <c r="AI39" s="3"/>
      <c r="AJ39" s="3"/>
      <c r="AK39" s="3"/>
      <c r="AL39" s="3"/>
      <c r="AM39" s="3"/>
      <c r="AN39" s="3"/>
      <c r="AO39" s="3"/>
      <c r="AP39" s="3"/>
      <c r="AQ39" s="3"/>
      <c r="AR39" s="3"/>
      <c r="AS39" s="4"/>
      <c r="AT39" s="4"/>
      <c r="AU39" s="3"/>
      <c r="AV39" s="5"/>
      <c r="AW39" s="3"/>
      <c r="AX39" s="3"/>
      <c r="AY39" s="3"/>
      <c r="AZ39" s="3"/>
      <c r="BA39" s="3"/>
    </row>
    <row r="40" spans="1:53" x14ac:dyDescent="0.25">
      <c r="A40" t="s">
        <v>60</v>
      </c>
      <c r="B40">
        <v>0.28000000000000003</v>
      </c>
      <c r="C40">
        <v>0.24</v>
      </c>
      <c r="E40" s="17"/>
      <c r="F40" s="14"/>
      <c r="G40" s="14"/>
      <c r="H40" s="14"/>
      <c r="I40" s="14"/>
      <c r="J40" s="14"/>
      <c r="K40" s="14"/>
      <c r="L40" s="14"/>
      <c r="M40" s="14"/>
      <c r="N40" s="14"/>
      <c r="O40" s="14"/>
      <c r="P40" s="14"/>
      <c r="Q40" s="16"/>
      <c r="R40" s="9"/>
      <c r="S40" s="9"/>
      <c r="T40" s="9"/>
      <c r="U40" s="9"/>
      <c r="V40" s="3"/>
      <c r="W40" s="3"/>
      <c r="X40" s="3"/>
      <c r="Y40" s="3"/>
      <c r="Z40" s="3"/>
      <c r="AA40" s="3"/>
      <c r="AB40" s="3"/>
      <c r="AC40" s="3"/>
      <c r="AD40" s="4"/>
      <c r="AE40" s="4"/>
      <c r="AF40" s="3"/>
      <c r="AG40" s="5"/>
      <c r="AH40" s="3"/>
      <c r="AI40" s="3"/>
      <c r="AJ40" s="3"/>
      <c r="AK40" s="3"/>
      <c r="AL40" s="3"/>
      <c r="AM40" s="3"/>
      <c r="AN40" s="3"/>
      <c r="AO40" s="3"/>
      <c r="AP40" s="3"/>
      <c r="AQ40" s="3"/>
      <c r="AR40" s="3"/>
      <c r="AS40" s="4"/>
      <c r="AT40" s="4"/>
      <c r="AU40" s="3"/>
      <c r="AV40" s="5"/>
      <c r="AW40" s="3"/>
      <c r="AX40" s="3"/>
      <c r="AY40" s="3"/>
      <c r="AZ40" s="3"/>
      <c r="BA40" s="3"/>
    </row>
    <row r="41" spans="1:53" x14ac:dyDescent="0.25">
      <c r="A41" t="s">
        <v>61</v>
      </c>
      <c r="B41">
        <v>0.34</v>
      </c>
      <c r="C41">
        <v>0.11</v>
      </c>
      <c r="E41" s="17"/>
      <c r="F41" s="14"/>
      <c r="G41" s="14"/>
      <c r="H41" s="14"/>
      <c r="I41" s="14"/>
      <c r="J41" s="14"/>
      <c r="K41" s="14"/>
      <c r="L41" s="14"/>
      <c r="M41" s="14"/>
      <c r="N41" s="14"/>
      <c r="O41" s="14"/>
      <c r="P41" s="14"/>
      <c r="Q41" s="16"/>
      <c r="R41" s="9"/>
      <c r="S41" s="9"/>
      <c r="T41" s="9"/>
      <c r="U41" s="9"/>
      <c r="V41" s="3"/>
      <c r="W41" s="3"/>
      <c r="X41" s="3"/>
      <c r="Y41" s="3"/>
      <c r="Z41" s="3"/>
      <c r="AA41" s="3"/>
      <c r="AB41" s="3"/>
      <c r="AC41" s="3"/>
      <c r="AD41" s="4"/>
      <c r="AE41" s="4"/>
      <c r="AF41" s="3"/>
      <c r="AG41" s="5"/>
      <c r="AH41" s="3"/>
      <c r="AI41" s="3"/>
      <c r="AJ41" s="3"/>
      <c r="AK41" s="3"/>
      <c r="AL41" s="3"/>
      <c r="AM41" s="3"/>
      <c r="AN41" s="3"/>
      <c r="AO41" s="3"/>
      <c r="AP41" s="3"/>
      <c r="AQ41" s="3"/>
      <c r="AR41" s="3"/>
      <c r="AS41" s="4"/>
      <c r="AT41" s="4"/>
      <c r="AU41" s="3"/>
      <c r="AV41" s="5"/>
      <c r="AW41" s="3"/>
      <c r="AX41" s="3"/>
      <c r="AY41" s="3"/>
      <c r="AZ41" s="3"/>
      <c r="BA41" s="3"/>
    </row>
    <row r="42" spans="1:53" x14ac:dyDescent="0.25">
      <c r="A42" t="s">
        <v>62</v>
      </c>
      <c r="B42">
        <v>0.34</v>
      </c>
      <c r="C42">
        <v>0.11</v>
      </c>
      <c r="E42" s="17"/>
      <c r="F42" s="14"/>
      <c r="G42" s="14"/>
      <c r="H42" s="14"/>
      <c r="I42" s="14"/>
      <c r="J42" s="14"/>
      <c r="K42" s="14"/>
      <c r="L42" s="14"/>
      <c r="M42" s="14"/>
      <c r="N42" s="14"/>
      <c r="O42" s="14"/>
      <c r="P42" s="14"/>
      <c r="Q42" s="16"/>
      <c r="R42" s="9"/>
      <c r="S42" s="9"/>
      <c r="T42" s="9"/>
      <c r="U42" s="9"/>
      <c r="V42" s="3"/>
      <c r="W42" s="3"/>
      <c r="X42" s="3"/>
      <c r="Y42" s="3"/>
      <c r="Z42" s="3"/>
      <c r="AA42" s="3"/>
      <c r="AB42" s="3"/>
      <c r="AC42" s="3"/>
      <c r="AD42" s="4"/>
      <c r="AE42" s="4"/>
      <c r="AF42" s="3"/>
      <c r="AG42" s="5"/>
      <c r="AH42" s="3"/>
      <c r="AI42" s="3"/>
      <c r="AJ42" s="3"/>
      <c r="AK42" s="3"/>
      <c r="AL42" s="3"/>
      <c r="AM42" s="3"/>
      <c r="AN42" s="3"/>
      <c r="AO42" s="3"/>
      <c r="AP42" s="3"/>
      <c r="AQ42" s="3"/>
      <c r="AR42" s="3"/>
      <c r="AS42" s="4"/>
      <c r="AT42" s="4"/>
      <c r="AU42" s="3"/>
      <c r="AV42" s="5"/>
      <c r="AW42" s="3"/>
      <c r="AX42" s="3"/>
      <c r="AY42" s="3"/>
      <c r="AZ42" s="3"/>
      <c r="BA42" s="3"/>
    </row>
    <row r="43" spans="1:53" x14ac:dyDescent="0.25">
      <c r="A43" t="s">
        <v>63</v>
      </c>
      <c r="B43">
        <v>0.34</v>
      </c>
      <c r="C43">
        <v>0.11</v>
      </c>
      <c r="E43" s="17"/>
      <c r="F43" s="14"/>
      <c r="G43" s="14"/>
      <c r="H43" s="14"/>
      <c r="I43" s="14"/>
      <c r="J43" s="14"/>
      <c r="K43" s="14"/>
      <c r="L43" s="14"/>
      <c r="M43" s="14"/>
      <c r="N43" s="14"/>
      <c r="O43" s="14"/>
      <c r="P43" s="14"/>
      <c r="Q43" s="16"/>
      <c r="R43" s="9"/>
      <c r="S43" s="9"/>
      <c r="T43" s="9"/>
      <c r="U43" s="9"/>
      <c r="V43" s="3"/>
      <c r="W43" s="3"/>
      <c r="X43" s="3"/>
      <c r="Y43" s="3"/>
      <c r="Z43" s="3"/>
      <c r="AA43" s="3"/>
      <c r="AB43" s="3"/>
      <c r="AC43" s="3"/>
      <c r="AD43" s="4"/>
      <c r="AE43" s="4"/>
      <c r="AF43" s="3"/>
      <c r="AG43" s="5"/>
      <c r="AH43" s="3"/>
      <c r="AI43" s="3"/>
      <c r="AJ43" s="3"/>
      <c r="AK43" s="3"/>
      <c r="AL43" s="3"/>
      <c r="AM43" s="3"/>
      <c r="AN43" s="3"/>
      <c r="AO43" s="3"/>
      <c r="AP43" s="3"/>
      <c r="AQ43" s="3"/>
      <c r="AR43" s="3"/>
      <c r="AS43" s="4"/>
      <c r="AT43" s="4"/>
      <c r="AU43" s="3"/>
      <c r="AV43" s="5"/>
      <c r="AW43" s="3"/>
      <c r="AX43" s="3"/>
      <c r="AY43" s="3"/>
      <c r="AZ43" s="3"/>
      <c r="BA43" s="3"/>
    </row>
    <row r="44" spans="1:53" x14ac:dyDescent="0.25">
      <c r="A44" t="s">
        <v>45</v>
      </c>
      <c r="B44">
        <v>0.224</v>
      </c>
      <c r="C44">
        <v>0.34</v>
      </c>
      <c r="E44" s="17"/>
      <c r="F44" s="14"/>
      <c r="G44" s="14"/>
      <c r="H44" s="14"/>
      <c r="I44" s="14"/>
      <c r="J44" s="14"/>
      <c r="K44" s="14"/>
      <c r="L44" s="14"/>
      <c r="M44" s="14"/>
      <c r="N44" s="14"/>
      <c r="O44" s="14"/>
      <c r="P44" s="14"/>
      <c r="Q44" s="16"/>
      <c r="R44" s="9"/>
      <c r="S44" s="9"/>
      <c r="T44" s="9"/>
      <c r="U44" s="9"/>
      <c r="V44" s="3"/>
      <c r="W44" s="3"/>
      <c r="X44" s="3"/>
      <c r="Y44" s="3"/>
      <c r="Z44" s="3"/>
      <c r="AA44" s="3"/>
      <c r="AB44" s="3"/>
      <c r="AC44" s="3"/>
      <c r="AD44" s="4"/>
      <c r="AE44" s="4"/>
      <c r="AF44" s="3"/>
      <c r="AG44" s="5"/>
      <c r="AH44" s="3"/>
      <c r="AI44" s="3"/>
      <c r="AJ44" s="3"/>
      <c r="AK44" s="3"/>
      <c r="AL44" s="3"/>
      <c r="AM44" s="3"/>
      <c r="AN44" s="3"/>
      <c r="AO44" s="3"/>
      <c r="AP44" s="3"/>
      <c r="AQ44" s="3"/>
      <c r="AR44" s="3"/>
      <c r="AS44" s="4"/>
      <c r="AT44" s="4"/>
      <c r="AU44" s="3"/>
      <c r="AV44" s="5"/>
      <c r="AW44" s="3"/>
      <c r="AX44" s="3"/>
      <c r="AY44" s="3"/>
      <c r="AZ44" s="3"/>
      <c r="BA44" s="3"/>
    </row>
    <row r="45" spans="1:53" x14ac:dyDescent="0.25">
      <c r="A45" t="s">
        <v>64</v>
      </c>
      <c r="B45">
        <v>0.224</v>
      </c>
      <c r="C45">
        <v>0.34</v>
      </c>
      <c r="E45" s="17"/>
      <c r="F45" s="14"/>
      <c r="G45" s="14"/>
      <c r="H45" s="14"/>
      <c r="I45" s="14"/>
      <c r="J45" s="14"/>
      <c r="K45" s="14"/>
      <c r="L45" s="14"/>
      <c r="M45" s="14"/>
      <c r="N45" s="14"/>
      <c r="O45" s="14"/>
      <c r="P45" s="14"/>
      <c r="Q45" s="16"/>
      <c r="R45" s="10"/>
      <c r="S45" s="10"/>
      <c r="T45" s="10"/>
      <c r="U45" s="10"/>
      <c r="V45" s="6"/>
      <c r="W45" s="3"/>
      <c r="X45" s="3"/>
      <c r="Y45" s="3"/>
      <c r="Z45" s="3"/>
      <c r="AA45" s="3"/>
      <c r="AB45" s="3"/>
      <c r="AC45" s="3"/>
      <c r="AD45" s="4"/>
      <c r="AE45" s="4"/>
      <c r="AF45" s="3"/>
      <c r="AG45" s="5"/>
      <c r="AH45" s="3"/>
      <c r="AI45" s="3"/>
      <c r="AJ45" s="3"/>
      <c r="AK45" s="3"/>
      <c r="AL45" s="3"/>
      <c r="AM45" s="3"/>
      <c r="AN45" s="3"/>
      <c r="AO45" s="3"/>
      <c r="AP45" s="3"/>
      <c r="AQ45" s="3"/>
      <c r="AR45" s="3"/>
      <c r="AS45" s="4"/>
      <c r="AT45" s="4"/>
      <c r="AU45" s="3"/>
      <c r="AV45" s="5"/>
      <c r="AW45" s="3"/>
      <c r="AX45" s="3"/>
      <c r="AY45" s="3"/>
      <c r="AZ45" s="3"/>
      <c r="BA45" s="3"/>
    </row>
    <row r="46" spans="1:53" x14ac:dyDescent="0.25">
      <c r="A46" t="s">
        <v>65</v>
      </c>
      <c r="B46">
        <v>0.224</v>
      </c>
      <c r="C46">
        <v>0.34</v>
      </c>
      <c r="E46" s="17"/>
      <c r="F46" s="14"/>
      <c r="G46" s="14"/>
      <c r="H46" s="14"/>
      <c r="I46" s="14"/>
      <c r="J46" s="14"/>
      <c r="K46" s="14"/>
      <c r="L46" s="14"/>
      <c r="M46" s="14"/>
      <c r="N46" s="14"/>
      <c r="O46" s="14"/>
      <c r="P46" s="14"/>
      <c r="Q46" s="16"/>
      <c r="R46" s="10"/>
      <c r="S46" s="10"/>
      <c r="T46" s="10"/>
      <c r="U46" s="10"/>
      <c r="V46" s="6"/>
      <c r="W46" s="3"/>
      <c r="X46" s="3"/>
      <c r="Y46" s="3"/>
      <c r="Z46" s="3"/>
      <c r="AA46" s="3"/>
      <c r="AB46" s="3"/>
      <c r="AC46" s="3"/>
      <c r="AD46" s="4"/>
      <c r="AE46" s="4"/>
      <c r="AF46" s="3"/>
      <c r="AG46" s="5"/>
      <c r="AH46" s="3"/>
      <c r="AI46" s="3"/>
      <c r="AJ46" s="3"/>
      <c r="AK46" s="3"/>
      <c r="AL46" s="3"/>
      <c r="AM46" s="3"/>
      <c r="AN46" s="3"/>
      <c r="AO46" s="3"/>
      <c r="AP46" s="3"/>
      <c r="AQ46" s="3"/>
      <c r="AR46" s="3"/>
      <c r="AS46" s="4"/>
      <c r="AT46" s="4"/>
      <c r="AU46" s="3"/>
      <c r="AV46" s="5"/>
      <c r="AW46" s="3"/>
      <c r="AX46" s="3"/>
      <c r="AY46" s="3"/>
      <c r="AZ46" s="3"/>
      <c r="BA46" s="3"/>
    </row>
    <row r="47" spans="1:53" x14ac:dyDescent="0.25">
      <c r="A47" t="s">
        <v>30</v>
      </c>
      <c r="B47">
        <v>0.3</v>
      </c>
      <c r="C47">
        <v>0.2</v>
      </c>
      <c r="E47" s="17"/>
      <c r="F47" s="14"/>
      <c r="G47" s="14"/>
      <c r="H47" s="14"/>
      <c r="I47" s="14"/>
      <c r="J47" s="14"/>
      <c r="K47" s="14"/>
      <c r="L47" s="14"/>
      <c r="M47" s="14"/>
      <c r="N47" s="14"/>
      <c r="O47" s="14"/>
      <c r="P47" s="14"/>
      <c r="Q47" s="16"/>
      <c r="R47" s="10"/>
      <c r="S47" s="10"/>
      <c r="T47" s="10"/>
      <c r="U47" s="10"/>
      <c r="V47" s="6"/>
      <c r="W47" s="3"/>
      <c r="X47" s="3"/>
      <c r="Y47" s="3"/>
      <c r="Z47" s="3"/>
      <c r="AA47" s="3"/>
      <c r="AB47" s="3"/>
      <c r="AC47" s="3"/>
      <c r="AD47" s="4"/>
      <c r="AE47" s="4"/>
      <c r="AF47" s="3"/>
      <c r="AG47" s="5"/>
      <c r="AH47" s="3"/>
      <c r="AI47" s="3"/>
      <c r="AJ47" s="3"/>
      <c r="AK47" s="3"/>
      <c r="AL47" s="3"/>
      <c r="AM47" s="3"/>
      <c r="AN47" s="3"/>
      <c r="AO47" s="3"/>
      <c r="AP47" s="3"/>
      <c r="AQ47" s="3"/>
      <c r="AR47" s="3"/>
      <c r="AS47" s="4"/>
      <c r="AT47" s="4"/>
      <c r="AU47" s="3"/>
      <c r="AV47" s="5"/>
      <c r="AW47" s="3"/>
      <c r="AX47" s="3"/>
      <c r="AY47" s="3"/>
      <c r="AZ47" s="3"/>
      <c r="BA47" s="3"/>
    </row>
    <row r="48" spans="1:53" x14ac:dyDescent="0.25">
      <c r="A48" t="s">
        <v>66</v>
      </c>
      <c r="B48">
        <v>0.3</v>
      </c>
      <c r="C48">
        <v>0.2</v>
      </c>
      <c r="E48" s="17"/>
      <c r="F48" s="14"/>
      <c r="G48" s="14"/>
      <c r="H48" s="14"/>
      <c r="I48" s="14"/>
      <c r="J48" s="14"/>
      <c r="K48" s="14"/>
      <c r="L48" s="14"/>
      <c r="M48" s="14"/>
      <c r="N48" s="14"/>
      <c r="O48" s="14"/>
      <c r="P48" s="14"/>
      <c r="Q48" s="16"/>
      <c r="R48" s="10"/>
      <c r="S48" s="10"/>
      <c r="T48" s="10"/>
      <c r="U48" s="10"/>
      <c r="V48" s="6"/>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row>
    <row r="49" spans="1:53" x14ac:dyDescent="0.25">
      <c r="A49" t="s">
        <v>67</v>
      </c>
      <c r="B49">
        <v>0.3</v>
      </c>
      <c r="C49">
        <v>0.2</v>
      </c>
      <c r="E49" s="17"/>
      <c r="F49" s="14"/>
      <c r="G49" s="14"/>
      <c r="H49" s="14"/>
      <c r="I49" s="14"/>
      <c r="J49" s="14"/>
      <c r="K49" s="14"/>
      <c r="L49" s="14"/>
      <c r="M49" s="14"/>
      <c r="N49" s="14"/>
      <c r="O49" s="14"/>
      <c r="P49" s="14"/>
      <c r="Q49" s="16"/>
      <c r="R49" s="10"/>
      <c r="S49" s="10"/>
      <c r="T49" s="10"/>
      <c r="U49" s="10"/>
      <c r="V49" s="6"/>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row>
    <row r="50" spans="1:53" x14ac:dyDescent="0.25">
      <c r="A50" t="s">
        <v>70</v>
      </c>
      <c r="B50">
        <v>0.36</v>
      </c>
      <c r="C50">
        <v>0.1</v>
      </c>
      <c r="E50" s="17"/>
      <c r="F50" s="14"/>
      <c r="G50" s="14"/>
      <c r="H50" s="14"/>
      <c r="I50" s="14"/>
      <c r="J50" s="14"/>
      <c r="K50" s="14"/>
      <c r="L50" s="14"/>
      <c r="M50" s="14"/>
      <c r="N50" s="14"/>
      <c r="O50" s="14"/>
      <c r="P50" s="14"/>
      <c r="Q50" s="16"/>
      <c r="R50" s="10"/>
      <c r="S50" s="10"/>
      <c r="T50" s="10"/>
      <c r="U50" s="10"/>
      <c r="V50" s="6"/>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row>
    <row r="51" spans="1:53" x14ac:dyDescent="0.25">
      <c r="A51" t="s">
        <v>72</v>
      </c>
      <c r="B51">
        <v>0.36</v>
      </c>
      <c r="C51">
        <v>0.1</v>
      </c>
      <c r="E51" s="17"/>
      <c r="F51" s="14"/>
      <c r="G51" s="14"/>
      <c r="H51" s="14"/>
      <c r="I51" s="14"/>
      <c r="J51" s="14"/>
      <c r="K51" s="14"/>
      <c r="L51" s="14"/>
      <c r="M51" s="14"/>
      <c r="N51" s="14"/>
      <c r="O51" s="14"/>
      <c r="P51" s="14"/>
      <c r="Q51" s="16"/>
      <c r="R51" s="10"/>
      <c r="S51" s="10"/>
      <c r="T51" s="10"/>
      <c r="U51" s="10"/>
      <c r="V51" s="6"/>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row>
    <row r="52" spans="1:53" x14ac:dyDescent="0.25">
      <c r="A52" t="s">
        <v>74</v>
      </c>
      <c r="B52">
        <v>0.36</v>
      </c>
      <c r="C52">
        <v>0.1</v>
      </c>
      <c r="E52" s="17"/>
      <c r="F52" s="14"/>
      <c r="G52" s="14"/>
      <c r="H52" s="14"/>
      <c r="I52" s="14"/>
      <c r="J52" s="14"/>
      <c r="K52" s="14"/>
      <c r="L52" s="14"/>
      <c r="M52" s="14"/>
      <c r="N52" s="14"/>
      <c r="O52" s="14"/>
      <c r="P52" s="14"/>
      <c r="Q52" s="16"/>
      <c r="R52" s="10"/>
      <c r="S52" s="10"/>
      <c r="T52" s="10"/>
      <c r="U52" s="10"/>
      <c r="V52" s="6"/>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row>
    <row r="53" spans="1:53" ht="15.75" thickBot="1" x14ac:dyDescent="0.3">
      <c r="A53" t="s">
        <v>77</v>
      </c>
      <c r="B53">
        <v>0.24</v>
      </c>
      <c r="C53">
        <v>0.3</v>
      </c>
      <c r="E53" s="18"/>
      <c r="F53" s="19"/>
      <c r="G53" s="19"/>
      <c r="H53" s="19"/>
      <c r="I53" s="19"/>
      <c r="J53" s="19"/>
      <c r="K53" s="19"/>
      <c r="L53" s="19"/>
      <c r="M53" s="19"/>
      <c r="N53" s="19"/>
      <c r="O53" s="19"/>
      <c r="P53" s="19"/>
      <c r="Q53" s="20"/>
      <c r="R53" s="10"/>
      <c r="S53" s="10"/>
      <c r="T53" s="10"/>
      <c r="U53" s="10"/>
      <c r="V53" s="6"/>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row>
    <row r="54" spans="1:53" x14ac:dyDescent="0.25">
      <c r="A54" t="s">
        <v>79</v>
      </c>
      <c r="B54">
        <v>0.24</v>
      </c>
      <c r="C54">
        <v>0.3</v>
      </c>
      <c r="E54" s="15" t="s">
        <v>164</v>
      </c>
      <c r="J54" s="8"/>
      <c r="K54" s="8"/>
      <c r="L54" s="8"/>
      <c r="M54" s="10"/>
      <c r="N54" s="10"/>
      <c r="O54" s="10"/>
      <c r="P54" s="10"/>
      <c r="Q54" s="10"/>
      <c r="R54" s="10"/>
      <c r="S54" s="10"/>
      <c r="T54" s="10"/>
      <c r="U54" s="10"/>
      <c r="V54" s="6"/>
    </row>
    <row r="55" spans="1:53" x14ac:dyDescent="0.25">
      <c r="A55" t="s">
        <v>81</v>
      </c>
      <c r="B55">
        <v>0.24</v>
      </c>
      <c r="C55">
        <v>0.3</v>
      </c>
      <c r="E55" s="15" t="s">
        <v>165</v>
      </c>
      <c r="J55" s="8"/>
      <c r="K55" s="8"/>
      <c r="L55" s="8"/>
      <c r="M55" s="10"/>
      <c r="N55" s="10"/>
      <c r="O55" s="10"/>
      <c r="P55" s="10"/>
      <c r="Q55" s="10"/>
      <c r="R55" s="10"/>
      <c r="S55" s="10"/>
      <c r="T55" s="10"/>
      <c r="U55" s="10"/>
      <c r="V55" s="6"/>
    </row>
    <row r="56" spans="1:53" x14ac:dyDescent="0.25">
      <c r="A56" t="s">
        <v>17</v>
      </c>
      <c r="B56">
        <v>0.36</v>
      </c>
      <c r="C56">
        <v>0.26</v>
      </c>
      <c r="M56" s="6"/>
      <c r="N56" s="6"/>
      <c r="O56" s="6"/>
      <c r="P56" s="6"/>
      <c r="Q56" s="6"/>
      <c r="R56" s="6"/>
      <c r="S56" s="6"/>
      <c r="T56" s="6"/>
      <c r="U56" s="6"/>
      <c r="V56" s="6"/>
    </row>
    <row r="57" spans="1:53" x14ac:dyDescent="0.25">
      <c r="A57" t="s">
        <v>82</v>
      </c>
      <c r="B57">
        <v>0.36</v>
      </c>
      <c r="C57">
        <v>0.26</v>
      </c>
      <c r="M57" s="6"/>
      <c r="N57" s="6"/>
      <c r="O57" s="6"/>
      <c r="P57" s="6"/>
      <c r="Q57" s="6"/>
      <c r="R57" s="6"/>
      <c r="S57" s="6"/>
      <c r="T57" s="6"/>
      <c r="U57" s="6"/>
      <c r="V57" s="6"/>
    </row>
    <row r="58" spans="1:53" x14ac:dyDescent="0.25">
      <c r="A58" t="s">
        <v>83</v>
      </c>
      <c r="B58">
        <v>0.36</v>
      </c>
      <c r="C58">
        <v>0.26</v>
      </c>
      <c r="M58" s="6"/>
      <c r="N58" s="6"/>
      <c r="O58" s="6"/>
      <c r="P58" s="6"/>
      <c r="Q58" s="6"/>
      <c r="R58" s="6"/>
      <c r="S58" s="6"/>
      <c r="T58" s="6"/>
      <c r="U58" s="6"/>
      <c r="V58" s="6"/>
    </row>
    <row r="59" spans="1:53" x14ac:dyDescent="0.25">
      <c r="A59" t="s">
        <v>31</v>
      </c>
      <c r="B59">
        <v>0.28799999999999998</v>
      </c>
      <c r="C59">
        <v>0.42</v>
      </c>
      <c r="M59" s="6"/>
      <c r="N59" s="6"/>
      <c r="O59" s="6"/>
      <c r="P59" s="6"/>
      <c r="Q59" s="6"/>
      <c r="R59" s="6"/>
      <c r="S59" s="6"/>
      <c r="T59" s="6"/>
      <c r="U59" s="6"/>
      <c r="V59" s="6"/>
    </row>
    <row r="60" spans="1:53" x14ac:dyDescent="0.25">
      <c r="A60" t="s">
        <v>84</v>
      </c>
      <c r="B60">
        <v>0.28799999999999998</v>
      </c>
      <c r="C60">
        <v>0.42</v>
      </c>
      <c r="M60" s="6"/>
      <c r="N60" s="6"/>
      <c r="O60" s="6"/>
      <c r="P60" s="6"/>
      <c r="Q60" s="6"/>
      <c r="R60" s="6"/>
      <c r="S60" s="6"/>
      <c r="T60" s="6"/>
      <c r="U60" s="6"/>
      <c r="V60" s="6"/>
    </row>
    <row r="61" spans="1:53" x14ac:dyDescent="0.25">
      <c r="A61" t="s">
        <v>85</v>
      </c>
      <c r="B61">
        <v>0.28799999999999998</v>
      </c>
      <c r="C61">
        <v>0.42</v>
      </c>
      <c r="M61" s="6"/>
      <c r="N61" s="6"/>
      <c r="O61" s="6"/>
      <c r="P61" s="6"/>
      <c r="Q61" s="6"/>
      <c r="R61" s="6"/>
      <c r="S61" s="6"/>
      <c r="T61" s="6"/>
      <c r="U61" s="6"/>
      <c r="V61" s="6"/>
    </row>
    <row r="62" spans="1:53" x14ac:dyDescent="0.25">
      <c r="A62" t="s">
        <v>86</v>
      </c>
      <c r="B62">
        <v>0.3</v>
      </c>
      <c r="C62">
        <v>0.02</v>
      </c>
      <c r="M62" s="6"/>
      <c r="N62" s="6"/>
      <c r="O62" s="6"/>
      <c r="P62" s="6"/>
      <c r="Q62" s="6"/>
      <c r="R62" s="6"/>
      <c r="S62" s="6"/>
      <c r="T62" s="6"/>
      <c r="U62" s="6"/>
      <c r="V62" s="6"/>
    </row>
    <row r="63" spans="1:53" x14ac:dyDescent="0.25">
      <c r="A63" t="s">
        <v>87</v>
      </c>
      <c r="B63">
        <v>0.3</v>
      </c>
      <c r="C63">
        <v>0.02</v>
      </c>
      <c r="M63" s="6"/>
      <c r="N63" s="6"/>
      <c r="O63" s="6"/>
      <c r="P63" s="6"/>
      <c r="Q63" s="6"/>
      <c r="R63" s="6"/>
      <c r="S63" s="6"/>
      <c r="T63" s="6"/>
      <c r="U63" s="6"/>
      <c r="V63" s="6"/>
    </row>
    <row r="64" spans="1:53" x14ac:dyDescent="0.25">
      <c r="A64" t="s">
        <v>88</v>
      </c>
      <c r="B64">
        <v>0.3</v>
      </c>
      <c r="C64">
        <v>0.02</v>
      </c>
      <c r="M64" s="6"/>
      <c r="N64" s="6"/>
      <c r="O64" s="6"/>
      <c r="P64" s="6"/>
      <c r="Q64" s="6"/>
      <c r="R64" s="6"/>
      <c r="S64" s="6"/>
      <c r="T64" s="6"/>
      <c r="U64" s="6"/>
      <c r="V64" s="6"/>
    </row>
    <row r="65" spans="1:22" x14ac:dyDescent="0.25">
      <c r="A65" t="s">
        <v>89</v>
      </c>
      <c r="B65">
        <v>0.51</v>
      </c>
      <c r="C65">
        <v>0.21</v>
      </c>
      <c r="M65" s="6"/>
      <c r="N65" s="6"/>
      <c r="O65" s="6"/>
      <c r="P65" s="6"/>
      <c r="Q65" s="6"/>
      <c r="R65" s="6"/>
      <c r="S65" s="6"/>
      <c r="T65" s="6"/>
      <c r="U65" s="6"/>
      <c r="V65" s="6"/>
    </row>
    <row r="66" spans="1:22" x14ac:dyDescent="0.25">
      <c r="A66" t="s">
        <v>90</v>
      </c>
      <c r="B66">
        <v>0.51</v>
      </c>
      <c r="C66">
        <v>0.21</v>
      </c>
      <c r="M66" s="6"/>
      <c r="N66" s="6"/>
      <c r="O66" s="6"/>
      <c r="P66" s="6"/>
      <c r="Q66" s="6"/>
      <c r="R66" s="6"/>
      <c r="S66" s="6"/>
      <c r="T66" s="6"/>
      <c r="U66" s="6"/>
      <c r="V66" s="6"/>
    </row>
    <row r="67" spans="1:22" x14ac:dyDescent="0.25">
      <c r="A67" t="s">
        <v>91</v>
      </c>
      <c r="B67">
        <v>0.51</v>
      </c>
      <c r="C67">
        <v>0.21</v>
      </c>
      <c r="M67" s="6"/>
      <c r="N67" s="6"/>
      <c r="O67" s="6"/>
      <c r="P67" s="6"/>
      <c r="Q67" s="6"/>
      <c r="R67" s="6"/>
      <c r="S67" s="6"/>
      <c r="T67" s="6"/>
      <c r="U67" s="6"/>
      <c r="V67" s="6"/>
    </row>
    <row r="68" spans="1:22" x14ac:dyDescent="0.25">
      <c r="A68" t="s">
        <v>92</v>
      </c>
      <c r="B68">
        <v>0.3</v>
      </c>
      <c r="C68">
        <v>0.03</v>
      </c>
      <c r="M68" s="6"/>
      <c r="N68" s="7"/>
      <c r="O68" s="7"/>
      <c r="P68" s="7"/>
      <c r="Q68" s="7"/>
      <c r="R68" s="7"/>
      <c r="S68" s="7"/>
      <c r="T68" s="7"/>
      <c r="U68" s="6"/>
      <c r="V68" s="6"/>
    </row>
    <row r="69" spans="1:22" x14ac:dyDescent="0.25">
      <c r="A69" t="s">
        <v>93</v>
      </c>
      <c r="B69">
        <v>0.45</v>
      </c>
      <c r="C69">
        <v>0.4</v>
      </c>
      <c r="M69" s="6"/>
      <c r="N69" s="6"/>
      <c r="O69" s="6"/>
      <c r="P69" s="6"/>
      <c r="Q69" s="6"/>
      <c r="R69" s="6"/>
      <c r="S69" s="6"/>
      <c r="T69" s="6"/>
      <c r="U69" s="6"/>
      <c r="V69" s="6"/>
    </row>
    <row r="70" spans="1:22" x14ac:dyDescent="0.25">
      <c r="A70" t="s">
        <v>94</v>
      </c>
      <c r="B70">
        <v>0.45</v>
      </c>
      <c r="C70">
        <v>0.4</v>
      </c>
      <c r="M70" s="6"/>
      <c r="N70" s="6"/>
      <c r="O70" s="6"/>
      <c r="P70" s="6"/>
      <c r="Q70" s="6"/>
      <c r="R70" s="6"/>
      <c r="S70" s="6"/>
      <c r="T70" s="6"/>
      <c r="U70" s="6"/>
      <c r="V70" s="6"/>
    </row>
    <row r="71" spans="1:22" x14ac:dyDescent="0.25">
      <c r="A71" t="s">
        <v>95</v>
      </c>
      <c r="B71">
        <v>0.45</v>
      </c>
      <c r="C71">
        <v>0.4</v>
      </c>
      <c r="M71" s="6"/>
      <c r="N71" s="7"/>
      <c r="O71" s="7"/>
      <c r="P71" s="7"/>
      <c r="Q71" s="7"/>
      <c r="R71" s="7"/>
      <c r="S71" s="7"/>
      <c r="T71" s="7"/>
      <c r="U71" s="6"/>
      <c r="V71" s="6"/>
    </row>
    <row r="72" spans="1:22" x14ac:dyDescent="0.25">
      <c r="A72" t="s">
        <v>96</v>
      </c>
      <c r="B72">
        <v>0.45</v>
      </c>
      <c r="C72">
        <v>0.4</v>
      </c>
      <c r="M72" s="6"/>
      <c r="N72" s="6"/>
      <c r="O72" s="6"/>
      <c r="P72" s="6"/>
      <c r="Q72" s="6"/>
      <c r="R72" s="6"/>
      <c r="S72" s="6"/>
      <c r="T72" s="6"/>
      <c r="U72" s="6"/>
      <c r="V72" s="6"/>
    </row>
    <row r="73" spans="1:22" x14ac:dyDescent="0.25">
      <c r="A73" t="s">
        <v>97</v>
      </c>
      <c r="B73">
        <v>0.4</v>
      </c>
      <c r="C73">
        <v>0.2</v>
      </c>
      <c r="M73" s="6"/>
      <c r="N73" s="6"/>
      <c r="O73" s="6"/>
      <c r="P73" s="6"/>
      <c r="Q73" s="6"/>
      <c r="R73" s="6"/>
      <c r="S73" s="6"/>
      <c r="T73" s="6"/>
      <c r="U73" s="6"/>
      <c r="V73" s="6"/>
    </row>
    <row r="74" spans="1:22" x14ac:dyDescent="0.25">
      <c r="A74" t="s">
        <v>98</v>
      </c>
      <c r="B74">
        <v>0.33</v>
      </c>
      <c r="C74">
        <v>0.25</v>
      </c>
      <c r="M74" s="6"/>
      <c r="N74" s="7"/>
      <c r="O74" s="7"/>
      <c r="P74" s="7"/>
      <c r="Q74" s="7"/>
      <c r="R74" s="7"/>
      <c r="S74" s="7"/>
      <c r="T74" s="7"/>
      <c r="U74" s="6"/>
      <c r="V74" s="6"/>
    </row>
    <row r="75" spans="1:22" x14ac:dyDescent="0.25">
      <c r="A75" t="s">
        <v>99</v>
      </c>
      <c r="B75">
        <v>0.33</v>
      </c>
      <c r="C75">
        <v>0.25</v>
      </c>
      <c r="M75" s="6"/>
      <c r="N75" s="6"/>
      <c r="O75" s="6"/>
      <c r="P75" s="6"/>
      <c r="Q75" s="6"/>
      <c r="R75" s="6"/>
      <c r="S75" s="6"/>
      <c r="T75" s="6"/>
      <c r="U75" s="6"/>
      <c r="V75" s="6"/>
    </row>
    <row r="76" spans="1:22" x14ac:dyDescent="0.25">
      <c r="A76" t="s">
        <v>100</v>
      </c>
      <c r="B76">
        <v>0.33</v>
      </c>
      <c r="C76">
        <v>0.25</v>
      </c>
      <c r="M76" s="6"/>
      <c r="N76" s="6"/>
      <c r="O76" s="6"/>
      <c r="P76" s="6"/>
      <c r="Q76" s="6"/>
      <c r="R76" s="6"/>
      <c r="S76" s="6"/>
      <c r="T76" s="6"/>
      <c r="U76" s="6"/>
      <c r="V76" s="6"/>
    </row>
    <row r="77" spans="1:22" x14ac:dyDescent="0.25">
      <c r="A77" t="s">
        <v>101</v>
      </c>
      <c r="B77">
        <v>0.26400000000000001</v>
      </c>
      <c r="C77">
        <v>0.35</v>
      </c>
      <c r="M77" s="6"/>
      <c r="N77" s="7"/>
      <c r="O77" s="7"/>
      <c r="P77" s="7"/>
      <c r="Q77" s="7"/>
      <c r="R77" s="7"/>
      <c r="S77" s="7"/>
      <c r="T77" s="7"/>
      <c r="U77" s="6"/>
      <c r="V77" s="6"/>
    </row>
    <row r="78" spans="1:22" x14ac:dyDescent="0.25">
      <c r="A78" t="s">
        <v>102</v>
      </c>
      <c r="B78">
        <v>0.26400000000000001</v>
      </c>
      <c r="C78">
        <v>0.35</v>
      </c>
      <c r="M78" s="6"/>
      <c r="N78" s="6"/>
      <c r="O78" s="6"/>
      <c r="P78" s="6"/>
      <c r="Q78" s="6"/>
      <c r="R78" s="6"/>
      <c r="S78" s="6"/>
      <c r="T78" s="6"/>
      <c r="U78" s="6"/>
      <c r="V78" s="6"/>
    </row>
    <row r="79" spans="1:22" x14ac:dyDescent="0.25">
      <c r="A79" t="s">
        <v>103</v>
      </c>
      <c r="B79">
        <v>0.26400000000000001</v>
      </c>
      <c r="C79">
        <v>0.35</v>
      </c>
      <c r="M79" s="6"/>
      <c r="N79" s="6"/>
      <c r="O79" s="6"/>
      <c r="P79" s="6"/>
      <c r="Q79" s="6"/>
      <c r="R79" s="6"/>
      <c r="S79" s="6"/>
      <c r="T79" s="6"/>
      <c r="U79" s="6"/>
      <c r="V79" s="6"/>
    </row>
    <row r="80" spans="1:22" x14ac:dyDescent="0.25">
      <c r="A80" t="s">
        <v>104</v>
      </c>
      <c r="B80">
        <v>0.38</v>
      </c>
      <c r="C80">
        <v>0.27</v>
      </c>
      <c r="M80" s="6"/>
      <c r="N80" s="7"/>
      <c r="O80" s="7"/>
      <c r="P80" s="7"/>
      <c r="Q80" s="7"/>
      <c r="R80" s="7"/>
      <c r="S80" s="7"/>
      <c r="T80" s="7"/>
      <c r="U80" s="6"/>
      <c r="V80" s="6"/>
    </row>
    <row r="81" spans="1:22" x14ac:dyDescent="0.25">
      <c r="A81" t="s">
        <v>105</v>
      </c>
      <c r="B81">
        <v>0.38</v>
      </c>
      <c r="C81">
        <v>0.27</v>
      </c>
      <c r="M81" s="6"/>
      <c r="N81" s="6"/>
      <c r="O81" s="6"/>
      <c r="P81" s="6"/>
      <c r="Q81" s="6"/>
      <c r="R81" s="6"/>
      <c r="S81" s="6"/>
      <c r="T81" s="6"/>
      <c r="U81" s="6"/>
      <c r="V81" s="6"/>
    </row>
    <row r="82" spans="1:22" x14ac:dyDescent="0.25">
      <c r="A82" t="s">
        <v>106</v>
      </c>
      <c r="B82">
        <v>0.38</v>
      </c>
      <c r="C82">
        <v>0.27</v>
      </c>
      <c r="M82" s="6"/>
      <c r="N82" s="6"/>
      <c r="O82" s="6"/>
      <c r="P82" s="6"/>
      <c r="Q82" s="6"/>
      <c r="R82" s="6"/>
      <c r="S82" s="6"/>
      <c r="T82" s="6"/>
      <c r="U82" s="6"/>
      <c r="V82" s="6"/>
    </row>
    <row r="83" spans="1:22" x14ac:dyDescent="0.25">
      <c r="A83" t="s">
        <v>107</v>
      </c>
      <c r="B83">
        <v>0.30399999999999999</v>
      </c>
      <c r="C83">
        <v>0.39</v>
      </c>
      <c r="M83" s="6"/>
      <c r="N83" s="7"/>
      <c r="O83" s="7"/>
      <c r="P83" s="7"/>
      <c r="Q83" s="7"/>
      <c r="R83" s="7"/>
      <c r="S83" s="7"/>
      <c r="T83" s="7"/>
      <c r="U83" s="6"/>
      <c r="V83" s="6"/>
    </row>
    <row r="84" spans="1:22" x14ac:dyDescent="0.25">
      <c r="A84" t="s">
        <v>108</v>
      </c>
      <c r="B84">
        <v>0.30399999999999999</v>
      </c>
      <c r="C84">
        <v>0.39</v>
      </c>
      <c r="M84" s="6"/>
      <c r="N84" s="6"/>
      <c r="O84" s="6"/>
      <c r="P84" s="6"/>
      <c r="Q84" s="6"/>
      <c r="R84" s="6"/>
      <c r="S84" s="6"/>
      <c r="T84" s="6"/>
      <c r="U84" s="6"/>
      <c r="V84" s="6"/>
    </row>
    <row r="85" spans="1:22" x14ac:dyDescent="0.25">
      <c r="A85" t="s">
        <v>109</v>
      </c>
      <c r="B85">
        <v>0.30399999999999999</v>
      </c>
      <c r="C85">
        <v>0.39</v>
      </c>
      <c r="M85" s="6"/>
      <c r="N85" s="6"/>
      <c r="O85" s="6"/>
      <c r="P85" s="6"/>
      <c r="Q85" s="6"/>
      <c r="R85" s="6"/>
      <c r="S85" s="6"/>
      <c r="T85" s="6"/>
      <c r="U85" s="6"/>
      <c r="V85" s="6"/>
    </row>
    <row r="86" spans="1:22" x14ac:dyDescent="0.25">
      <c r="A86" t="s">
        <v>33</v>
      </c>
      <c r="B86">
        <v>0.4</v>
      </c>
      <c r="C86">
        <v>0.3</v>
      </c>
      <c r="M86" s="6"/>
      <c r="N86" s="7"/>
      <c r="O86" s="7"/>
      <c r="P86" s="7"/>
      <c r="Q86" s="7"/>
      <c r="R86" s="7"/>
      <c r="S86" s="7"/>
      <c r="T86" s="7"/>
      <c r="U86" s="6"/>
      <c r="V86" s="6"/>
    </row>
    <row r="87" spans="1:22" x14ac:dyDescent="0.25">
      <c r="A87" t="s">
        <v>110</v>
      </c>
      <c r="B87">
        <v>0.4</v>
      </c>
      <c r="C87">
        <v>0.3</v>
      </c>
      <c r="M87" s="6"/>
      <c r="N87" s="6"/>
      <c r="O87" s="6"/>
      <c r="P87" s="6"/>
      <c r="Q87" s="6"/>
      <c r="R87" s="6"/>
      <c r="S87" s="6"/>
      <c r="T87" s="6"/>
      <c r="U87" s="6"/>
      <c r="V87" s="6"/>
    </row>
    <row r="88" spans="1:22" x14ac:dyDescent="0.25">
      <c r="A88" t="s">
        <v>111</v>
      </c>
      <c r="B88">
        <v>0.4</v>
      </c>
      <c r="C88">
        <v>0.3</v>
      </c>
      <c r="M88" s="6"/>
      <c r="N88" s="6"/>
      <c r="O88" s="6"/>
      <c r="P88" s="6"/>
      <c r="Q88" s="6"/>
      <c r="R88" s="6"/>
      <c r="S88" s="6"/>
      <c r="T88" s="6"/>
      <c r="U88" s="6"/>
      <c r="V88" s="6"/>
    </row>
    <row r="89" spans="1:22" x14ac:dyDescent="0.25">
      <c r="A89" t="s">
        <v>58</v>
      </c>
      <c r="B89">
        <v>0.32</v>
      </c>
      <c r="C89">
        <v>0.45</v>
      </c>
      <c r="M89" s="6"/>
      <c r="N89" s="7"/>
      <c r="O89" s="7"/>
      <c r="P89" s="7"/>
      <c r="Q89" s="7"/>
      <c r="R89" s="7"/>
      <c r="S89" s="7"/>
      <c r="T89" s="7"/>
      <c r="U89" s="6"/>
      <c r="V89" s="6"/>
    </row>
    <row r="90" spans="1:22" x14ac:dyDescent="0.25">
      <c r="A90" t="s">
        <v>112</v>
      </c>
      <c r="B90">
        <v>0.36</v>
      </c>
      <c r="C90">
        <v>0.4</v>
      </c>
      <c r="M90" s="6"/>
      <c r="N90" s="6"/>
      <c r="O90" s="6"/>
      <c r="P90" s="6"/>
      <c r="Q90" s="6"/>
      <c r="R90" s="6"/>
      <c r="S90" s="6"/>
      <c r="T90" s="6"/>
      <c r="U90" s="6"/>
      <c r="V90" s="6"/>
    </row>
    <row r="91" spans="1:22" x14ac:dyDescent="0.25">
      <c r="A91" t="s">
        <v>113</v>
      </c>
      <c r="B91">
        <v>0.36</v>
      </c>
      <c r="C91">
        <v>0.4</v>
      </c>
      <c r="M91" s="6"/>
      <c r="N91" s="6"/>
      <c r="O91" s="6"/>
      <c r="P91" s="6"/>
      <c r="Q91" s="6"/>
      <c r="R91" s="6"/>
      <c r="S91" s="6"/>
      <c r="T91" s="6"/>
      <c r="U91" s="6"/>
      <c r="V91" s="6"/>
    </row>
    <row r="92" spans="1:22" x14ac:dyDescent="0.25">
      <c r="A92" t="s">
        <v>114</v>
      </c>
      <c r="B92">
        <v>0.41</v>
      </c>
      <c r="C92">
        <v>0.28000000000000003</v>
      </c>
      <c r="M92" s="6"/>
      <c r="N92" s="7"/>
      <c r="O92" s="7"/>
      <c r="P92" s="7"/>
      <c r="Q92" s="7"/>
      <c r="R92" s="7"/>
      <c r="S92" s="7"/>
      <c r="T92" s="7"/>
      <c r="U92" s="6"/>
      <c r="V92" s="6"/>
    </row>
    <row r="93" spans="1:22" x14ac:dyDescent="0.25">
      <c r="A93" t="s">
        <v>115</v>
      </c>
      <c r="B93">
        <v>0.41</v>
      </c>
      <c r="C93">
        <v>0.28000000000000003</v>
      </c>
      <c r="M93" s="6"/>
      <c r="N93" s="6"/>
      <c r="O93" s="6"/>
      <c r="P93" s="6"/>
      <c r="Q93" s="6"/>
      <c r="R93" s="6"/>
      <c r="S93" s="6"/>
      <c r="T93" s="6"/>
      <c r="U93" s="6"/>
      <c r="V93" s="6"/>
    </row>
    <row r="94" spans="1:22" x14ac:dyDescent="0.25">
      <c r="A94" t="s">
        <v>116</v>
      </c>
      <c r="B94">
        <v>0.41</v>
      </c>
      <c r="C94">
        <v>0.28000000000000003</v>
      </c>
      <c r="M94" s="6"/>
      <c r="N94" s="6"/>
      <c r="O94" s="6"/>
      <c r="P94" s="6"/>
      <c r="Q94" s="6"/>
      <c r="R94" s="6"/>
      <c r="S94" s="6"/>
      <c r="T94" s="6"/>
      <c r="U94" s="6"/>
      <c r="V94" s="6"/>
    </row>
    <row r="95" spans="1:22" x14ac:dyDescent="0.25">
      <c r="A95" t="s">
        <v>117</v>
      </c>
      <c r="B95">
        <v>0.43</v>
      </c>
      <c r="C95">
        <v>0.32</v>
      </c>
      <c r="M95" s="6"/>
      <c r="N95" s="7"/>
      <c r="O95" s="7"/>
      <c r="P95" s="7"/>
      <c r="Q95" s="7"/>
      <c r="R95" s="7"/>
      <c r="S95" s="7"/>
      <c r="T95" s="7"/>
      <c r="U95" s="6"/>
      <c r="V95" s="6"/>
    </row>
    <row r="96" spans="1:22" x14ac:dyDescent="0.25">
      <c r="A96" t="s">
        <v>118</v>
      </c>
      <c r="B96">
        <v>0.43</v>
      </c>
      <c r="C96">
        <v>0.32</v>
      </c>
      <c r="M96" s="6"/>
      <c r="N96" s="6"/>
      <c r="O96" s="6"/>
      <c r="P96" s="6"/>
      <c r="Q96" s="6"/>
      <c r="R96" s="6"/>
      <c r="S96" s="6"/>
      <c r="T96" s="6"/>
      <c r="U96" s="6"/>
      <c r="V96" s="6"/>
    </row>
    <row r="97" spans="1:22" x14ac:dyDescent="0.25">
      <c r="A97" t="s">
        <v>119</v>
      </c>
      <c r="B97">
        <v>0.43</v>
      </c>
      <c r="C97">
        <v>0.32</v>
      </c>
      <c r="M97" s="6"/>
      <c r="N97" s="6"/>
      <c r="O97" s="6"/>
      <c r="P97" s="6"/>
      <c r="Q97" s="6"/>
      <c r="R97" s="6"/>
      <c r="S97" s="6"/>
      <c r="T97" s="6"/>
      <c r="U97" s="6"/>
      <c r="V97" s="6"/>
    </row>
    <row r="98" spans="1:22" x14ac:dyDescent="0.25">
      <c r="A98" t="s">
        <v>120</v>
      </c>
      <c r="B98">
        <v>0.34399999999999997</v>
      </c>
      <c r="C98">
        <v>0.48</v>
      </c>
      <c r="M98" s="6"/>
      <c r="N98" s="7"/>
      <c r="O98" s="7"/>
      <c r="P98" s="7"/>
      <c r="Q98" s="7"/>
      <c r="R98" s="7"/>
      <c r="S98" s="7"/>
      <c r="T98" s="7"/>
      <c r="U98" s="6"/>
      <c r="V98" s="6"/>
    </row>
    <row r="99" spans="1:22" x14ac:dyDescent="0.25">
      <c r="A99" t="s">
        <v>121</v>
      </c>
      <c r="B99">
        <v>0.34399999999999997</v>
      </c>
      <c r="C99">
        <v>0.48</v>
      </c>
      <c r="M99" s="6"/>
      <c r="N99" s="6"/>
      <c r="O99" s="6"/>
      <c r="P99" s="6"/>
      <c r="Q99" s="6"/>
      <c r="R99" s="6"/>
      <c r="S99" s="6"/>
      <c r="T99" s="6"/>
      <c r="U99" s="6"/>
      <c r="V99" s="6"/>
    </row>
    <row r="100" spans="1:22" x14ac:dyDescent="0.25">
      <c r="A100" t="s">
        <v>122</v>
      </c>
      <c r="B100">
        <v>0.34399999999999997</v>
      </c>
      <c r="C100">
        <v>0.48</v>
      </c>
      <c r="M100" s="6"/>
      <c r="N100" s="6"/>
      <c r="O100" s="6"/>
      <c r="P100" s="6"/>
      <c r="Q100" s="6"/>
      <c r="R100" s="6"/>
      <c r="S100" s="6"/>
      <c r="T100" s="6"/>
      <c r="U100" s="6"/>
      <c r="V100" s="6"/>
    </row>
    <row r="101" spans="1:22" x14ac:dyDescent="0.25">
      <c r="A101" t="s">
        <v>123</v>
      </c>
      <c r="B101">
        <v>0.26</v>
      </c>
      <c r="C101">
        <v>0.19</v>
      </c>
      <c r="M101" s="6"/>
      <c r="N101" s="7"/>
      <c r="O101" s="7"/>
      <c r="P101" s="7"/>
      <c r="Q101" s="7"/>
      <c r="R101" s="7"/>
      <c r="S101" s="7"/>
      <c r="T101" s="7"/>
      <c r="U101" s="6"/>
      <c r="V101" s="6"/>
    </row>
    <row r="102" spans="1:22" x14ac:dyDescent="0.25">
      <c r="A102" t="s">
        <v>124</v>
      </c>
      <c r="B102">
        <v>0.26</v>
      </c>
      <c r="C102">
        <v>0.19</v>
      </c>
      <c r="M102" s="6"/>
      <c r="N102" s="6"/>
      <c r="O102" s="6"/>
      <c r="P102" s="6"/>
      <c r="Q102" s="6"/>
      <c r="R102" s="6"/>
      <c r="S102" s="6"/>
      <c r="T102" s="6"/>
      <c r="U102" s="6"/>
      <c r="V102" s="6"/>
    </row>
    <row r="103" spans="1:22" x14ac:dyDescent="0.25">
      <c r="A103" t="s">
        <v>125</v>
      </c>
      <c r="B103">
        <v>0.26</v>
      </c>
      <c r="C103">
        <v>0.19</v>
      </c>
      <c r="M103" s="6"/>
      <c r="N103" s="6"/>
      <c r="O103" s="6"/>
      <c r="P103" s="6"/>
      <c r="Q103" s="6"/>
      <c r="R103" s="6"/>
      <c r="S103" s="6"/>
      <c r="T103" s="6"/>
      <c r="U103" s="6"/>
      <c r="V103" s="6"/>
    </row>
    <row r="104" spans="1:22" x14ac:dyDescent="0.25">
      <c r="A104" t="s">
        <v>126</v>
      </c>
      <c r="B104">
        <v>0.38700000000000001</v>
      </c>
      <c r="C104">
        <v>0.38</v>
      </c>
      <c r="M104" s="6"/>
      <c r="N104" s="7"/>
      <c r="O104" s="7"/>
      <c r="P104" s="7"/>
      <c r="Q104" s="7"/>
      <c r="R104" s="7"/>
      <c r="S104" s="7"/>
      <c r="T104" s="7"/>
      <c r="U104" s="6"/>
      <c r="V104" s="6"/>
    </row>
    <row r="105" spans="1:22" x14ac:dyDescent="0.25">
      <c r="A105" t="s">
        <v>127</v>
      </c>
      <c r="B105">
        <v>0.38700000000000001</v>
      </c>
      <c r="C105">
        <v>0.38</v>
      </c>
      <c r="M105" s="6"/>
      <c r="N105" s="6"/>
      <c r="O105" s="6"/>
      <c r="P105" s="6"/>
      <c r="Q105" s="6"/>
      <c r="R105" s="6"/>
      <c r="S105" s="6"/>
      <c r="T105" s="6"/>
      <c r="U105" s="6"/>
      <c r="V105" s="6"/>
    </row>
    <row r="106" spans="1:22" x14ac:dyDescent="0.25">
      <c r="A106" t="s">
        <v>128</v>
      </c>
      <c r="B106">
        <v>0.38700000000000001</v>
      </c>
      <c r="C106">
        <v>0.38</v>
      </c>
      <c r="M106" s="6"/>
      <c r="N106" s="6"/>
      <c r="O106" s="6"/>
      <c r="P106" s="6"/>
      <c r="Q106" s="6"/>
      <c r="R106" s="6"/>
      <c r="S106" s="6"/>
      <c r="T106" s="6"/>
      <c r="U106" s="6"/>
      <c r="V106" s="6"/>
    </row>
    <row r="107" spans="1:22" x14ac:dyDescent="0.25">
      <c r="A107" t="s">
        <v>129</v>
      </c>
      <c r="B107">
        <v>0.55000000000000004</v>
      </c>
      <c r="C107">
        <v>0.4</v>
      </c>
      <c r="M107" s="6"/>
      <c r="N107" s="7"/>
      <c r="O107" s="7"/>
      <c r="P107" s="7"/>
      <c r="Q107" s="7"/>
      <c r="R107" s="7"/>
      <c r="S107" s="7"/>
      <c r="T107" s="7"/>
      <c r="U107" s="6"/>
      <c r="V107" s="6"/>
    </row>
    <row r="108" spans="1:22" x14ac:dyDescent="0.25">
      <c r="A108" t="s">
        <v>130</v>
      </c>
      <c r="B108">
        <v>0.55000000000000004</v>
      </c>
      <c r="C108">
        <v>0.4</v>
      </c>
      <c r="M108" s="6"/>
      <c r="N108" s="6"/>
      <c r="O108" s="6"/>
      <c r="P108" s="6"/>
      <c r="Q108" s="6"/>
      <c r="R108" s="6"/>
      <c r="S108" s="6"/>
      <c r="T108" s="6"/>
      <c r="U108" s="6"/>
      <c r="V108" s="6"/>
    </row>
    <row r="109" spans="1:22" x14ac:dyDescent="0.25">
      <c r="A109" t="s">
        <v>131</v>
      </c>
      <c r="B109">
        <v>0.55000000000000004</v>
      </c>
      <c r="C109">
        <v>0.4</v>
      </c>
      <c r="M109" s="6"/>
      <c r="N109" s="6"/>
      <c r="O109" s="6"/>
      <c r="P109" s="6"/>
      <c r="Q109" s="6"/>
      <c r="R109" s="6"/>
      <c r="S109" s="6"/>
      <c r="T109" s="6"/>
      <c r="U109" s="6"/>
      <c r="V109" s="6"/>
    </row>
    <row r="110" spans="1:22" x14ac:dyDescent="0.25">
      <c r="A110" t="s">
        <v>132</v>
      </c>
      <c r="B110">
        <v>0.45</v>
      </c>
      <c r="C110">
        <v>0.6</v>
      </c>
      <c r="M110" s="6"/>
      <c r="N110" s="6"/>
      <c r="O110" s="6"/>
      <c r="P110" s="6"/>
      <c r="Q110" s="6"/>
      <c r="R110" s="6"/>
      <c r="S110" s="6"/>
      <c r="T110" s="6"/>
      <c r="U110" s="6"/>
      <c r="V110" s="6"/>
    </row>
    <row r="111" spans="1:22" x14ac:dyDescent="0.25">
      <c r="A111" t="s">
        <v>133</v>
      </c>
      <c r="B111">
        <v>0.45</v>
      </c>
      <c r="C111">
        <v>0.6</v>
      </c>
      <c r="M111" s="6"/>
      <c r="N111" s="6"/>
      <c r="O111" s="6"/>
      <c r="P111" s="6"/>
      <c r="Q111" s="6"/>
      <c r="R111" s="6"/>
      <c r="S111" s="6"/>
      <c r="T111" s="6"/>
      <c r="U111" s="6"/>
      <c r="V111" s="6"/>
    </row>
    <row r="112" spans="1:22" x14ac:dyDescent="0.25">
      <c r="A112" t="s">
        <v>134</v>
      </c>
      <c r="B112">
        <v>0.45</v>
      </c>
      <c r="C112">
        <v>0.6</v>
      </c>
      <c r="M112" s="6"/>
      <c r="N112" s="6"/>
      <c r="O112" s="6"/>
      <c r="P112" s="6"/>
      <c r="Q112" s="6"/>
      <c r="R112" s="6"/>
      <c r="S112" s="6"/>
      <c r="T112" s="6"/>
      <c r="U112" s="6"/>
      <c r="V112" s="6"/>
    </row>
    <row r="113" spans="1:22" x14ac:dyDescent="0.25">
      <c r="A113" t="s">
        <v>57</v>
      </c>
      <c r="B113">
        <v>0.56000000000000005</v>
      </c>
      <c r="C113">
        <v>0.6</v>
      </c>
      <c r="M113" s="6"/>
      <c r="N113" s="6"/>
      <c r="O113" s="6"/>
      <c r="P113" s="6"/>
      <c r="Q113" s="6"/>
      <c r="R113" s="6"/>
      <c r="S113" s="6"/>
      <c r="T113" s="6"/>
      <c r="U113" s="6"/>
      <c r="V113" s="6"/>
    </row>
    <row r="114" spans="1:22" x14ac:dyDescent="0.25">
      <c r="A114" t="s">
        <v>135</v>
      </c>
      <c r="B114">
        <v>0.56000000000000005</v>
      </c>
      <c r="C114">
        <v>0.6</v>
      </c>
      <c r="M114" s="6"/>
      <c r="N114" s="6"/>
      <c r="O114" s="6"/>
      <c r="P114" s="6"/>
      <c r="Q114" s="6"/>
      <c r="R114" s="6"/>
      <c r="S114" s="6"/>
      <c r="T114" s="6"/>
      <c r="U114" s="6"/>
      <c r="V114" s="6"/>
    </row>
    <row r="115" spans="1:22" x14ac:dyDescent="0.25">
      <c r="A115" t="s">
        <v>136</v>
      </c>
      <c r="B115">
        <v>0.56000000000000005</v>
      </c>
      <c r="C115">
        <v>0.6</v>
      </c>
      <c r="M115" s="6"/>
      <c r="N115" s="6"/>
      <c r="O115" s="6"/>
      <c r="P115" s="6"/>
      <c r="Q115" s="6"/>
      <c r="R115" s="6"/>
      <c r="S115" s="6"/>
      <c r="T115" s="6"/>
      <c r="U115" s="6"/>
      <c r="V115" s="6"/>
    </row>
    <row r="116" spans="1:22" x14ac:dyDescent="0.25">
      <c r="A116" t="s">
        <v>137</v>
      </c>
      <c r="B116">
        <v>0.65</v>
      </c>
      <c r="C116">
        <v>0.08</v>
      </c>
      <c r="M116" s="6"/>
      <c r="N116" s="6"/>
      <c r="O116" s="6"/>
      <c r="P116" s="6"/>
      <c r="Q116" s="6"/>
      <c r="R116" s="6"/>
      <c r="S116" s="6"/>
      <c r="T116" s="6"/>
      <c r="U116" s="6"/>
      <c r="V116" s="6"/>
    </row>
    <row r="117" spans="1:22" x14ac:dyDescent="0.25">
      <c r="A117" t="s">
        <v>138</v>
      </c>
      <c r="B117">
        <v>0.65</v>
      </c>
      <c r="C117">
        <v>0.08</v>
      </c>
      <c r="M117" s="6"/>
      <c r="N117" s="6"/>
      <c r="O117" s="6"/>
      <c r="P117" s="6"/>
      <c r="Q117" s="6"/>
      <c r="R117" s="6"/>
      <c r="S117" s="6"/>
      <c r="T117" s="6"/>
      <c r="U117" s="6"/>
      <c r="V117" s="6"/>
    </row>
    <row r="118" spans="1:22" x14ac:dyDescent="0.25">
      <c r="A118" t="s">
        <v>139</v>
      </c>
      <c r="B118">
        <v>0.65</v>
      </c>
      <c r="C118">
        <v>0.08</v>
      </c>
      <c r="M118" s="6"/>
      <c r="N118" s="6"/>
      <c r="O118" s="6"/>
      <c r="P118" s="6"/>
      <c r="Q118" s="6"/>
      <c r="R118" s="6"/>
      <c r="S118" s="6"/>
      <c r="T118" s="6"/>
      <c r="U118" s="6"/>
      <c r="V118" s="6"/>
    </row>
    <row r="119" spans="1:22" x14ac:dyDescent="0.25">
      <c r="A119" t="s">
        <v>140</v>
      </c>
      <c r="B119">
        <v>0.8</v>
      </c>
      <c r="C119">
        <v>0.75</v>
      </c>
      <c r="M119" s="6"/>
      <c r="N119" s="6"/>
      <c r="O119" s="6"/>
      <c r="P119" s="6"/>
      <c r="Q119" s="6"/>
      <c r="R119" s="6"/>
      <c r="S119" s="6"/>
      <c r="T119" s="6"/>
      <c r="U119" s="6"/>
      <c r="V119" s="6"/>
    </row>
    <row r="120" spans="1:22" x14ac:dyDescent="0.25">
      <c r="A120" t="s">
        <v>141</v>
      </c>
      <c r="B120">
        <v>0.8</v>
      </c>
      <c r="C120">
        <v>0.75</v>
      </c>
      <c r="M120" s="6"/>
      <c r="N120" s="6"/>
      <c r="O120" s="6"/>
      <c r="P120" s="6"/>
      <c r="Q120" s="6"/>
      <c r="R120" s="6"/>
      <c r="S120" s="6"/>
      <c r="T120" s="6"/>
      <c r="U120" s="6"/>
      <c r="V120" s="6"/>
    </row>
    <row r="121" spans="1:22" x14ac:dyDescent="0.25">
      <c r="A121" t="s">
        <v>142</v>
      </c>
      <c r="B121">
        <v>0.8</v>
      </c>
      <c r="C121">
        <v>0.75</v>
      </c>
      <c r="M121" s="6"/>
      <c r="N121" s="6"/>
      <c r="O121" s="6"/>
      <c r="P121" s="6"/>
      <c r="Q121" s="6"/>
      <c r="R121" s="6"/>
      <c r="S121" s="6"/>
      <c r="T121" s="6"/>
      <c r="U121" s="6"/>
      <c r="V121" s="6"/>
    </row>
    <row r="122" spans="1:22" x14ac:dyDescent="0.25">
      <c r="A122" t="s">
        <v>143</v>
      </c>
      <c r="B122">
        <v>0.7</v>
      </c>
      <c r="C122">
        <v>0.35</v>
      </c>
      <c r="M122" s="6"/>
      <c r="N122" s="6"/>
      <c r="O122" s="6"/>
      <c r="P122" s="6"/>
      <c r="Q122" s="6"/>
      <c r="R122" s="6"/>
      <c r="S122" s="6"/>
      <c r="T122" s="6"/>
      <c r="U122" s="6"/>
      <c r="V122" s="6"/>
    </row>
    <row r="123" spans="1:22" x14ac:dyDescent="0.25">
      <c r="A123" t="s">
        <v>144</v>
      </c>
      <c r="B123">
        <v>0.7</v>
      </c>
      <c r="C123">
        <v>0.35</v>
      </c>
      <c r="M123" s="6"/>
      <c r="N123" s="6"/>
      <c r="O123" s="6"/>
      <c r="P123" s="6"/>
      <c r="Q123" s="6"/>
      <c r="R123" s="6"/>
      <c r="S123" s="6"/>
      <c r="T123" s="6"/>
      <c r="U123" s="6"/>
      <c r="V123" s="6"/>
    </row>
    <row r="124" spans="1:22" x14ac:dyDescent="0.25">
      <c r="A124" t="s">
        <v>145</v>
      </c>
      <c r="B124">
        <v>0.7</v>
      </c>
      <c r="C124">
        <v>0.35</v>
      </c>
      <c r="M124" s="6"/>
      <c r="N124" s="6"/>
      <c r="O124" s="6"/>
      <c r="P124" s="6"/>
      <c r="Q124" s="6"/>
      <c r="R124" s="6"/>
      <c r="S124" s="6"/>
      <c r="T124" s="6"/>
      <c r="U124" s="6"/>
      <c r="V124" s="6"/>
    </row>
    <row r="125" spans="1:22" x14ac:dyDescent="0.25">
      <c r="A125" t="s">
        <v>146</v>
      </c>
      <c r="B125">
        <v>0.7</v>
      </c>
      <c r="C125">
        <v>0.35</v>
      </c>
      <c r="M125" s="6"/>
      <c r="N125" s="6"/>
      <c r="O125" s="6"/>
      <c r="P125" s="6"/>
      <c r="Q125" s="6"/>
      <c r="R125" s="6"/>
      <c r="S125" s="6"/>
      <c r="T125" s="6"/>
      <c r="U125" s="6"/>
      <c r="V125" s="6"/>
    </row>
    <row r="126" spans="1:22" x14ac:dyDescent="0.25">
      <c r="A126" t="s">
        <v>147</v>
      </c>
      <c r="B126">
        <v>0.7</v>
      </c>
      <c r="C126">
        <v>0.3</v>
      </c>
      <c r="M126" s="6"/>
      <c r="N126" s="6"/>
      <c r="O126" s="6"/>
      <c r="P126" s="6"/>
      <c r="Q126" s="6"/>
      <c r="R126" s="6"/>
      <c r="S126" s="6"/>
      <c r="T126" s="6"/>
      <c r="U126" s="6"/>
      <c r="V126" s="6"/>
    </row>
    <row r="127" spans="1:22" x14ac:dyDescent="0.25">
      <c r="A127" t="s">
        <v>148</v>
      </c>
      <c r="B127">
        <v>0.7</v>
      </c>
      <c r="C127">
        <v>0.3</v>
      </c>
      <c r="M127" s="6"/>
      <c r="N127" s="6"/>
      <c r="O127" s="6"/>
      <c r="P127" s="6"/>
      <c r="Q127" s="6"/>
      <c r="R127" s="6"/>
      <c r="S127" s="6"/>
      <c r="T127" s="6"/>
      <c r="U127" s="6"/>
      <c r="V127" s="6"/>
    </row>
    <row r="128" spans="1:22" x14ac:dyDescent="0.25">
      <c r="A128" t="s">
        <v>149</v>
      </c>
      <c r="B128">
        <v>0.8</v>
      </c>
      <c r="C128">
        <v>0.8</v>
      </c>
      <c r="M128" s="6"/>
      <c r="N128" s="6"/>
      <c r="O128" s="6"/>
      <c r="P128" s="6"/>
      <c r="Q128" s="6"/>
      <c r="R128" s="6"/>
      <c r="S128" s="6"/>
      <c r="T128" s="6"/>
      <c r="U128" s="6"/>
      <c r="V128" s="6"/>
    </row>
    <row r="129" spans="1:22" x14ac:dyDescent="0.25">
      <c r="A129" t="s">
        <v>150</v>
      </c>
      <c r="B129">
        <v>0.8</v>
      </c>
      <c r="C129">
        <v>0.8</v>
      </c>
      <c r="M129" s="6"/>
      <c r="N129" s="6"/>
      <c r="O129" s="6"/>
      <c r="P129" s="6"/>
      <c r="Q129" s="6"/>
      <c r="R129" s="6"/>
      <c r="S129" s="6"/>
      <c r="T129" s="6"/>
      <c r="U129" s="6"/>
      <c r="V129" s="6"/>
    </row>
    <row r="130" spans="1:22" x14ac:dyDescent="0.25">
      <c r="A130" t="s">
        <v>151</v>
      </c>
      <c r="B130">
        <v>0.8</v>
      </c>
      <c r="C130">
        <v>0.8</v>
      </c>
      <c r="M130" s="6"/>
      <c r="N130" s="6"/>
      <c r="O130" s="6"/>
      <c r="P130" s="6"/>
      <c r="Q130" s="6"/>
      <c r="R130" s="6"/>
      <c r="S130" s="6"/>
      <c r="T130" s="6"/>
      <c r="U130" s="6"/>
      <c r="V130" s="6"/>
    </row>
    <row r="131" spans="1:22" x14ac:dyDescent="0.25">
      <c r="A131" t="s">
        <v>152</v>
      </c>
      <c r="B131">
        <v>0.9</v>
      </c>
      <c r="C131">
        <v>0.8</v>
      </c>
      <c r="M131" s="6"/>
      <c r="N131" s="6"/>
      <c r="O131" s="6"/>
      <c r="P131" s="6"/>
      <c r="Q131" s="6"/>
      <c r="R131" s="6"/>
      <c r="S131" s="6"/>
      <c r="T131" s="6"/>
      <c r="U131" s="6"/>
      <c r="V131" s="6"/>
    </row>
    <row r="132" spans="1:22" x14ac:dyDescent="0.25">
      <c r="A132" t="s">
        <v>153</v>
      </c>
      <c r="B132">
        <v>0.9</v>
      </c>
      <c r="C132">
        <v>0.8</v>
      </c>
      <c r="M132" s="6"/>
      <c r="N132" s="6"/>
      <c r="O132" s="6"/>
      <c r="P132" s="6"/>
      <c r="Q132" s="6"/>
      <c r="R132" s="6"/>
      <c r="S132" s="6"/>
      <c r="T132" s="6"/>
      <c r="U132" s="6"/>
      <c r="V132" s="6"/>
    </row>
    <row r="133" spans="1:22" x14ac:dyDescent="0.25">
      <c r="A133" t="s">
        <v>154</v>
      </c>
      <c r="B133">
        <v>0.9</v>
      </c>
      <c r="C133">
        <v>0.8</v>
      </c>
      <c r="M133" s="6"/>
      <c r="N133" s="6"/>
      <c r="O133" s="6"/>
      <c r="P133" s="6"/>
      <c r="Q133" s="6"/>
      <c r="R133" s="6"/>
      <c r="S133" s="6"/>
      <c r="T133" s="6"/>
      <c r="U133" s="6"/>
      <c r="V133" s="6"/>
    </row>
    <row r="134" spans="1:22" x14ac:dyDescent="0.25">
      <c r="A134" t="s">
        <v>155</v>
      </c>
      <c r="B134">
        <v>0.61</v>
      </c>
      <c r="C134">
        <v>0.4</v>
      </c>
      <c r="M134" s="6"/>
      <c r="N134" s="6"/>
      <c r="O134" s="6"/>
      <c r="P134" s="6"/>
      <c r="Q134" s="6"/>
      <c r="R134" s="6"/>
      <c r="S134" s="6"/>
      <c r="T134" s="6"/>
      <c r="U134" s="6"/>
      <c r="V134" s="6"/>
    </row>
    <row r="135" spans="1:22" x14ac:dyDescent="0.25">
      <c r="A135" t="s">
        <v>156</v>
      </c>
      <c r="B135">
        <v>0.5</v>
      </c>
      <c r="C135">
        <v>0.05</v>
      </c>
      <c r="M135" s="6"/>
      <c r="N135" s="6"/>
      <c r="O135" s="6"/>
      <c r="P135" s="6"/>
      <c r="Q135" s="6"/>
      <c r="R135" s="6"/>
      <c r="S135" s="6"/>
      <c r="T135" s="6"/>
      <c r="U135" s="6"/>
      <c r="V135" s="6"/>
    </row>
    <row r="136" spans="1:22" x14ac:dyDescent="0.25">
      <c r="A136" t="s">
        <v>157</v>
      </c>
      <c r="B136">
        <v>0.2</v>
      </c>
      <c r="C136">
        <v>0.01</v>
      </c>
      <c r="M136" s="6"/>
      <c r="N136" s="6"/>
      <c r="O136" s="6"/>
      <c r="P136" s="6"/>
      <c r="Q136" s="6"/>
      <c r="R136" s="6"/>
      <c r="S136" s="6"/>
      <c r="T136" s="6"/>
      <c r="U136" s="6"/>
      <c r="V136" s="6"/>
    </row>
    <row r="137" spans="1:22" x14ac:dyDescent="0.25">
      <c r="A137" t="s">
        <v>56</v>
      </c>
      <c r="B137">
        <v>0.66</v>
      </c>
      <c r="C137">
        <v>0.35</v>
      </c>
      <c r="M137" s="6"/>
      <c r="N137" s="6"/>
      <c r="O137" s="6"/>
      <c r="P137" s="6"/>
      <c r="Q137" s="6"/>
      <c r="R137" s="6"/>
      <c r="S137" s="6"/>
      <c r="T137" s="6"/>
      <c r="U137" s="6"/>
      <c r="V137" s="6"/>
    </row>
    <row r="138" spans="1:22" x14ac:dyDescent="0.25">
      <c r="A138" t="s">
        <v>158</v>
      </c>
      <c r="B138">
        <v>0.28999999999999998</v>
      </c>
      <c r="C138">
        <v>0.22</v>
      </c>
    </row>
  </sheetData>
  <mergeCells count="2">
    <mergeCell ref="E34:Q53"/>
    <mergeCell ref="E33:Q33"/>
  </mergeCells>
  <dataValidations count="3">
    <dataValidation type="list" allowBlank="1" showInputMessage="1" showErrorMessage="1" sqref="E2:E11 E14:E23 E26 E32 R14:R23 R2:R11" xr:uid="{9A009D28-33C3-4C64-ABF4-7590A9A889A8}">
      <formula1>$A$2:$A$138</formula1>
    </dataValidation>
    <dataValidation type="list" allowBlank="1" showInputMessage="1" showErrorMessage="1" sqref="I2:I11 AN26:AN35 AN38:AN47 I30:I32 I14:I23 I26" xr:uid="{358A1C8A-B618-41C2-9EC8-545B40404813}">
      <formula1>$E$27:$E$31</formula1>
    </dataValidation>
    <dataValidation type="list" allowBlank="1" showInputMessage="1" showErrorMessage="1" sqref="N14:N23 AQ26:AQ35 AQ38:AQ47 M26:M32 AN14:AN23 AN2:AN11 N2:N11" xr:uid="{7D461128-1AD1-4754-B69A-1CE9783626B2}">
      <formula1>$H$27:$H$29</formula1>
    </dataValidation>
  </dataValidations>
  <hyperlinks>
    <hyperlink ref="E54" r:id="rId1" xr:uid="{3DBAB1E0-2857-42C6-ACCE-D9CCB89E234A}"/>
    <hyperlink ref="E55" r:id="rId2" xr:uid="{F8D8D24F-D2FF-4EEF-AFC9-CBA00C604825}"/>
  </hyperlinks>
  <pageMargins left="0.7" right="0.7" top="0.75" bottom="0.75" header="0.3" footer="0.3"/>
  <pageSetup orientation="portrait" r:id="rId3"/>
  <tableParts count="5">
    <tablePart r:id="rId4"/>
    <tablePart r:id="rId5"/>
    <tablePart r:id="rId6"/>
    <tablePart r:id="rId7"/>
    <tablePart r:id="rId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stalker damage calc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Midkiff</dc:creator>
  <cp:lastModifiedBy>Mike Midkiff</cp:lastModifiedBy>
  <dcterms:created xsi:type="dcterms:W3CDTF">2026-05-16T01:58:20Z</dcterms:created>
  <dcterms:modified xsi:type="dcterms:W3CDTF">2026-05-16T02:47:48Z</dcterms:modified>
</cp:coreProperties>
</file>