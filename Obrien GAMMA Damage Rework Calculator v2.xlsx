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ike\Desktop\Gamma Changes\__My Mods\"/>
    </mc:Choice>
  </mc:AlternateContent>
  <xr:revisionPtr revIDLastSave="0" documentId="8_{C247FF03-6BA5-4337-8FAC-497F46DF411A}" xr6:coauthVersionLast="47" xr6:coauthVersionMax="47" xr10:uidLastSave="{00000000-0000-0000-0000-000000000000}"/>
  <bookViews>
    <workbookView xWindow="-120" yWindow="-120" windowWidth="51840" windowHeight="21120" xr2:uid="{69FC9B04-0BD0-4B83-8823-FE73F8D6EC7C}"/>
  </bookViews>
  <sheets>
    <sheet name="stalker damage calc" sheetId="1" r:id="rId1"/>
    <sheet name="Mutant Damage Calc" sheetId="2" r:id="rId2"/>
    <sheet name="Armor Balanc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3" i="2" l="1" a="1"/>
  <c r="G23" i="2" s="1"/>
  <c r="F23" i="2" a="1"/>
  <c r="F23" i="2" s="1"/>
  <c r="J23" i="2" s="1"/>
  <c r="K23" i="2" s="1"/>
  <c r="M23" i="2" s="1"/>
  <c r="G22" i="2" a="1"/>
  <c r="G22" i="2" s="1"/>
  <c r="F22" i="2" a="1"/>
  <c r="F22" i="2" s="1"/>
  <c r="J22" i="2" s="1"/>
  <c r="K22" i="2" s="1"/>
  <c r="M22" i="2" s="1"/>
  <c r="G21" i="2" a="1"/>
  <c r="G21" i="2" s="1"/>
  <c r="F21" i="2" a="1"/>
  <c r="F21" i="2" s="1"/>
  <c r="J21" i="2" s="1"/>
  <c r="K21" i="2" s="1"/>
  <c r="M21" i="2" s="1"/>
  <c r="G20" i="2" a="1"/>
  <c r="G20" i="2" s="1"/>
  <c r="F20" i="2" a="1"/>
  <c r="F20" i="2" s="1"/>
  <c r="J20" i="2" s="1"/>
  <c r="K20" i="2" s="1"/>
  <c r="M20" i="2" s="1"/>
  <c r="G19" i="2" a="1"/>
  <c r="G19" i="2" s="1"/>
  <c r="F19" i="2" a="1"/>
  <c r="F19" i="2" s="1"/>
  <c r="J19" i="2" s="1"/>
  <c r="K19" i="2" s="1"/>
  <c r="M19" i="2" s="1"/>
  <c r="G18" i="2" a="1"/>
  <c r="G18" i="2" s="1"/>
  <c r="F18" i="2" a="1"/>
  <c r="F18" i="2" s="1"/>
  <c r="J18" i="2" s="1"/>
  <c r="K18" i="2" s="1"/>
  <c r="M18" i="2" s="1"/>
  <c r="G17" i="2" a="1"/>
  <c r="G17" i="2" s="1"/>
  <c r="F17" i="2" a="1"/>
  <c r="F17" i="2" s="1"/>
  <c r="J17" i="2" s="1"/>
  <c r="K17" i="2" s="1"/>
  <c r="M17" i="2" s="1"/>
  <c r="G16" i="2" a="1"/>
  <c r="G16" i="2" s="1"/>
  <c r="F16" i="2" a="1"/>
  <c r="F16" i="2" s="1"/>
  <c r="J16" i="2" s="1"/>
  <c r="K16" i="2" s="1"/>
  <c r="M16" i="2" s="1"/>
  <c r="G15" i="2" a="1"/>
  <c r="G15" i="2" s="1"/>
  <c r="F15" i="2" a="1"/>
  <c r="F15" i="2" s="1"/>
  <c r="J15" i="2" s="1"/>
  <c r="K15" i="2" s="1"/>
  <c r="M15" i="2" s="1"/>
  <c r="G14" i="2" a="1"/>
  <c r="G14" i="2" s="1"/>
  <c r="F14" i="2" a="1"/>
  <c r="F14" i="2" s="1"/>
  <c r="J14" i="2" s="1"/>
  <c r="K14" i="2" s="1"/>
  <c r="M14" i="2" s="1"/>
  <c r="G11" i="2" a="1"/>
  <c r="G11" i="2" s="1"/>
  <c r="F11" i="2" a="1"/>
  <c r="F11" i="2" s="1"/>
  <c r="J11" i="2" s="1"/>
  <c r="K11" i="2" s="1"/>
  <c r="M11" i="2" s="1"/>
  <c r="G10" i="2" a="1"/>
  <c r="G10" i="2" s="1"/>
  <c r="F10" i="2" a="1"/>
  <c r="F10" i="2" s="1"/>
  <c r="J10" i="2" s="1"/>
  <c r="K10" i="2" s="1"/>
  <c r="M10" i="2" s="1"/>
  <c r="G9" i="2" a="1"/>
  <c r="G9" i="2" s="1"/>
  <c r="F9" i="2" a="1"/>
  <c r="F9" i="2" s="1"/>
  <c r="J9" i="2" s="1"/>
  <c r="K9" i="2" s="1"/>
  <c r="M9" i="2" s="1"/>
  <c r="G8" i="2" a="1"/>
  <c r="G8" i="2" s="1"/>
  <c r="F8" i="2" a="1"/>
  <c r="F8" i="2" s="1"/>
  <c r="J8" i="2" s="1"/>
  <c r="K8" i="2" s="1"/>
  <c r="M8" i="2" s="1"/>
  <c r="G7" i="2" a="1"/>
  <c r="G7" i="2" s="1"/>
  <c r="F7" i="2" a="1"/>
  <c r="F7" i="2" s="1"/>
  <c r="J7" i="2" s="1"/>
  <c r="K7" i="2" s="1"/>
  <c r="M7" i="2" s="1"/>
  <c r="G6" i="2" a="1"/>
  <c r="G6" i="2" s="1"/>
  <c r="F6" i="2" a="1"/>
  <c r="F6" i="2" s="1"/>
  <c r="J6" i="2" s="1"/>
  <c r="K6" i="2" s="1"/>
  <c r="M6" i="2" s="1"/>
  <c r="G5" i="2" a="1"/>
  <c r="G5" i="2" s="1"/>
  <c r="F5" i="2" a="1"/>
  <c r="F5" i="2" s="1"/>
  <c r="J5" i="2" s="1"/>
  <c r="K5" i="2" s="1"/>
  <c r="M5" i="2" s="1"/>
  <c r="G4" i="2" a="1"/>
  <c r="G4" i="2" s="1"/>
  <c r="F4" i="2" a="1"/>
  <c r="F4" i="2" s="1"/>
  <c r="J4" i="2" s="1"/>
  <c r="K4" i="2" s="1"/>
  <c r="M4" i="2" s="1"/>
  <c r="G3" i="2" a="1"/>
  <c r="G3" i="2" s="1"/>
  <c r="F3" i="2" a="1"/>
  <c r="F3" i="2" s="1"/>
  <c r="J3" i="2" s="1"/>
  <c r="K3" i="2" s="1"/>
  <c r="M3" i="2" s="1"/>
  <c r="G2" i="2" a="1"/>
  <c r="G2" i="2" s="1"/>
  <c r="F2" i="2" a="1"/>
  <c r="F2" i="2" s="1"/>
  <c r="J2" i="2" s="1"/>
  <c r="K2" i="2" s="1"/>
  <c r="M2" i="2" s="1"/>
  <c r="O23" i="1" a="1"/>
  <c r="O23" i="1" s="1"/>
  <c r="J23" i="1" a="1"/>
  <c r="J23" i="1" s="1"/>
  <c r="K23" i="1" s="1"/>
  <c r="G23" i="1" a="1"/>
  <c r="G23" i="1" s="1"/>
  <c r="L23" i="1" s="1"/>
  <c r="F23" i="1" a="1"/>
  <c r="F23" i="1" s="1"/>
  <c r="O22" i="1" a="1"/>
  <c r="O22" i="1" s="1"/>
  <c r="J22" i="1" a="1"/>
  <c r="J22" i="1" s="1"/>
  <c r="K22" i="1" s="1"/>
  <c r="G22" i="1" a="1"/>
  <c r="G22" i="1" s="1"/>
  <c r="L22" i="1" s="1"/>
  <c r="F22" i="1" a="1"/>
  <c r="F22" i="1" s="1"/>
  <c r="O21" i="1" a="1"/>
  <c r="O21" i="1" s="1"/>
  <c r="J21" i="1" a="1"/>
  <c r="J21" i="1" s="1"/>
  <c r="K21" i="1" s="1"/>
  <c r="G21" i="1" a="1"/>
  <c r="G21" i="1" s="1"/>
  <c r="L21" i="1" s="1"/>
  <c r="F21" i="1" a="1"/>
  <c r="F21" i="1" s="1"/>
  <c r="O20" i="1" a="1"/>
  <c r="O20" i="1" s="1"/>
  <c r="J20" i="1" a="1"/>
  <c r="J20" i="1" s="1"/>
  <c r="K20" i="1" s="1"/>
  <c r="G20" i="1" a="1"/>
  <c r="G20" i="1" s="1"/>
  <c r="L20" i="1" s="1"/>
  <c r="F20" i="1" a="1"/>
  <c r="F20" i="1" s="1"/>
  <c r="P20" i="1" s="1"/>
  <c r="Q20" i="1" s="1"/>
  <c r="O19" i="1" a="1"/>
  <c r="O19" i="1" s="1"/>
  <c r="J19" i="1" a="1"/>
  <c r="J19" i="1" s="1"/>
  <c r="K19" i="1" s="1"/>
  <c r="G19" i="1" a="1"/>
  <c r="G19" i="1" s="1"/>
  <c r="L19" i="1" s="1"/>
  <c r="F19" i="1" a="1"/>
  <c r="F19" i="1" s="1"/>
  <c r="O18" i="1" a="1"/>
  <c r="O18" i="1" s="1"/>
  <c r="J18" i="1" a="1"/>
  <c r="J18" i="1" s="1"/>
  <c r="K18" i="1" s="1"/>
  <c r="G18" i="1" a="1"/>
  <c r="G18" i="1" s="1"/>
  <c r="L18" i="1" s="1"/>
  <c r="F18" i="1" a="1"/>
  <c r="F18" i="1" s="1"/>
  <c r="P18" i="1" s="1"/>
  <c r="Q18" i="1" s="1"/>
  <c r="O17" i="1" a="1"/>
  <c r="O17" i="1" s="1"/>
  <c r="J17" i="1" a="1"/>
  <c r="J17" i="1" s="1"/>
  <c r="K17" i="1" s="1"/>
  <c r="G17" i="1" a="1"/>
  <c r="G17" i="1" s="1"/>
  <c r="L17" i="1" s="1"/>
  <c r="F17" i="1" a="1"/>
  <c r="F17" i="1" s="1"/>
  <c r="P17" i="1" s="1"/>
  <c r="Q17" i="1" s="1"/>
  <c r="O16" i="1" a="1"/>
  <c r="O16" i="1" s="1"/>
  <c r="J16" i="1" a="1"/>
  <c r="J16" i="1" s="1"/>
  <c r="K16" i="1" s="1"/>
  <c r="G16" i="1" a="1"/>
  <c r="G16" i="1" s="1"/>
  <c r="L16" i="1" s="1"/>
  <c r="F16" i="1" a="1"/>
  <c r="F16" i="1" s="1"/>
  <c r="P16" i="1" s="1"/>
  <c r="Q16" i="1" s="1"/>
  <c r="O15" i="1" a="1"/>
  <c r="O15" i="1" s="1"/>
  <c r="J15" i="1" a="1"/>
  <c r="J15" i="1" s="1"/>
  <c r="K15" i="1" s="1"/>
  <c r="G15" i="1" a="1"/>
  <c r="G15" i="1" s="1"/>
  <c r="L15" i="1" s="1"/>
  <c r="F15" i="1" a="1"/>
  <c r="F15" i="1" s="1"/>
  <c r="P15" i="1" s="1"/>
  <c r="Q15" i="1" s="1"/>
  <c r="O14" i="1" a="1"/>
  <c r="O14" i="1" s="1"/>
  <c r="J14" i="1" a="1"/>
  <c r="J14" i="1" s="1"/>
  <c r="K14" i="1" s="1"/>
  <c r="G14" i="1" a="1"/>
  <c r="G14" i="1" s="1"/>
  <c r="L14" i="1" s="1"/>
  <c r="F14" i="1" a="1"/>
  <c r="F14" i="1" s="1"/>
  <c r="P14" i="1" s="1"/>
  <c r="Q14" i="1" s="1"/>
  <c r="O11" i="1" a="1"/>
  <c r="O11" i="1" s="1"/>
  <c r="J11" i="1" a="1"/>
  <c r="J11" i="1" s="1"/>
  <c r="K11" i="1" s="1"/>
  <c r="G11" i="1" a="1"/>
  <c r="G11" i="1" s="1"/>
  <c r="L11" i="1" s="1"/>
  <c r="F11" i="1" a="1"/>
  <c r="F11" i="1" s="1"/>
  <c r="P11" i="1" s="1"/>
  <c r="Q11" i="1" s="1"/>
  <c r="O10" i="1" a="1"/>
  <c r="O10" i="1" s="1"/>
  <c r="J10" i="1" a="1"/>
  <c r="J10" i="1" s="1"/>
  <c r="K10" i="1" s="1"/>
  <c r="G10" i="1" a="1"/>
  <c r="G10" i="1" s="1"/>
  <c r="L10" i="1" s="1"/>
  <c r="F10" i="1" a="1"/>
  <c r="F10" i="1" s="1"/>
  <c r="P10" i="1" s="1"/>
  <c r="Q10" i="1" s="1"/>
  <c r="O9" i="1" a="1"/>
  <c r="O9" i="1" s="1"/>
  <c r="J9" i="1" a="1"/>
  <c r="J9" i="1" s="1"/>
  <c r="K9" i="1" s="1"/>
  <c r="G9" i="1" a="1"/>
  <c r="G9" i="1" s="1"/>
  <c r="L9" i="1" s="1"/>
  <c r="F9" i="1" a="1"/>
  <c r="F9" i="1" s="1"/>
  <c r="P9" i="1" s="1"/>
  <c r="Q9" i="1" s="1"/>
  <c r="O8" i="1" a="1"/>
  <c r="O8" i="1" s="1"/>
  <c r="J8" i="1" a="1"/>
  <c r="J8" i="1" s="1"/>
  <c r="K8" i="1" s="1"/>
  <c r="G8" i="1" a="1"/>
  <c r="G8" i="1" s="1"/>
  <c r="L8" i="1" s="1"/>
  <c r="F8" i="1" a="1"/>
  <c r="F8" i="1" s="1"/>
  <c r="P8" i="1" s="1"/>
  <c r="Q8" i="1" s="1"/>
  <c r="O7" i="1" a="1"/>
  <c r="O7" i="1" s="1"/>
  <c r="J7" i="1" a="1"/>
  <c r="J7" i="1" s="1"/>
  <c r="K7" i="1" s="1"/>
  <c r="G7" i="1" a="1"/>
  <c r="G7" i="1" s="1"/>
  <c r="L7" i="1" s="1"/>
  <c r="F7" i="1" a="1"/>
  <c r="F7" i="1" s="1"/>
  <c r="P7" i="1" s="1"/>
  <c r="Q7" i="1" s="1"/>
  <c r="O6" i="1" a="1"/>
  <c r="O6" i="1" s="1"/>
  <c r="J6" i="1" a="1"/>
  <c r="J6" i="1" s="1"/>
  <c r="K6" i="1" s="1"/>
  <c r="G6" i="1" a="1"/>
  <c r="G6" i="1" s="1"/>
  <c r="L6" i="1" s="1"/>
  <c r="F6" i="1" a="1"/>
  <c r="F6" i="1" s="1"/>
  <c r="P6" i="1" s="1"/>
  <c r="Q6" i="1" s="1"/>
  <c r="O5" i="1" a="1"/>
  <c r="O5" i="1" s="1"/>
  <c r="J5" i="1" a="1"/>
  <c r="J5" i="1" s="1"/>
  <c r="K5" i="1" s="1"/>
  <c r="G5" i="1" a="1"/>
  <c r="G5" i="1" s="1"/>
  <c r="L5" i="1" s="1"/>
  <c r="F5" i="1" a="1"/>
  <c r="F5" i="1" s="1"/>
  <c r="P5" i="1" s="1"/>
  <c r="Q5" i="1" s="1"/>
  <c r="O4" i="1" a="1"/>
  <c r="O4" i="1" s="1"/>
  <c r="J4" i="1" a="1"/>
  <c r="J4" i="1" s="1"/>
  <c r="K4" i="1" s="1"/>
  <c r="G4" i="1" a="1"/>
  <c r="G4" i="1" s="1"/>
  <c r="L4" i="1" s="1"/>
  <c r="F4" i="1" a="1"/>
  <c r="F4" i="1" s="1"/>
  <c r="P4" i="1" s="1"/>
  <c r="Q4" i="1" s="1"/>
  <c r="O3" i="1" a="1"/>
  <c r="O3" i="1" s="1"/>
  <c r="J3" i="1" a="1"/>
  <c r="J3" i="1" s="1"/>
  <c r="K3" i="1" s="1"/>
  <c r="G3" i="1" a="1"/>
  <c r="G3" i="1" s="1"/>
  <c r="L3" i="1" s="1"/>
  <c r="F3" i="1" a="1"/>
  <c r="F3" i="1" s="1"/>
  <c r="O2" i="1" a="1"/>
  <c r="O2" i="1" s="1"/>
  <c r="J2" i="1" a="1"/>
  <c r="J2" i="1" s="1"/>
  <c r="K2" i="1" s="1"/>
  <c r="G2" i="1" a="1"/>
  <c r="G2" i="1" s="1"/>
  <c r="F2" i="1" a="1"/>
  <c r="F2" i="1" s="1"/>
  <c r="P3" i="1" l="1"/>
  <c r="Q3" i="1" s="1"/>
  <c r="P19" i="1"/>
  <c r="Q19" i="1" s="1"/>
  <c r="P21" i="1"/>
  <c r="Q21" i="1" s="1"/>
  <c r="P22" i="1"/>
  <c r="Q22" i="1" s="1"/>
  <c r="P23" i="1"/>
  <c r="Q23" i="1" s="1"/>
  <c r="L2" i="1"/>
  <c r="P2" i="1"/>
  <c r="Q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<sst xmlns="http://schemas.openxmlformats.org/spreadsheetml/2006/main" count="632" uniqueCount="198">
  <si>
    <t>Bullet</t>
  </si>
  <si>
    <t>K_hit</t>
  </si>
  <si>
    <t>K_Ap</t>
  </si>
  <si>
    <t>Ammo</t>
  </si>
  <si>
    <t>k_hit</t>
  </si>
  <si>
    <t>Armor_BR</t>
  </si>
  <si>
    <t>Plate</t>
  </si>
  <si>
    <t>Plate_BR</t>
  </si>
  <si>
    <t>Final_BR</t>
  </si>
  <si>
    <t>Pen_Ratio</t>
  </si>
  <si>
    <t>ArtProt</t>
  </si>
  <si>
    <t>Limb</t>
  </si>
  <si>
    <t>Limb_Mul</t>
  </si>
  <si>
    <t>Damage</t>
  </si>
  <si>
    <t>btk</t>
  </si>
  <si>
    <t>ammo_9x18_fmj</t>
  </si>
  <si>
    <t>ammo_12x70_buck</t>
  </si>
  <si>
    <t>none</t>
  </si>
  <si>
    <t>torso</t>
  </si>
  <si>
    <t>ammo_9x18_fmj_bad</t>
  </si>
  <si>
    <t>ammo_9x18_fmj_verybad</t>
  </si>
  <si>
    <t>ammo_9x18_pmm</t>
  </si>
  <si>
    <t>ammo_9x18_pmm_bad</t>
  </si>
  <si>
    <t>ammo_9x18_pmm_verybad</t>
  </si>
  <si>
    <t>ammo_9x18_ap</t>
  </si>
  <si>
    <t>ammo_9x18_ap_bad</t>
  </si>
  <si>
    <t>ammo_9x18_ap_verybad</t>
  </si>
  <si>
    <t>ammo_9x19_fmj</t>
  </si>
  <si>
    <t>ammo_9x19_fmj_bad</t>
  </si>
  <si>
    <t>ammo_9x19_fmj_verybad</t>
  </si>
  <si>
    <t>ammo_9x19_pbp</t>
  </si>
  <si>
    <t>ammo_23x75_shrapnel</t>
  </si>
  <si>
    <t>ammo_9x19_pbp_bad</t>
  </si>
  <si>
    <t>ammo_9x19_pbp_verybad</t>
  </si>
  <si>
    <t>ammo_9x19_ap</t>
  </si>
  <si>
    <t>ammo_9x19_ap_bad</t>
  </si>
  <si>
    <t>ammo_9x19_ap_verybad</t>
  </si>
  <si>
    <t>ammo_5.7x28_ss190</t>
  </si>
  <si>
    <t>ammo_5.7x28_ss190_bad</t>
  </si>
  <si>
    <t>ammo_5.7x28_ss190_verybad</t>
  </si>
  <si>
    <t>ammo_5.7x28_ss195</t>
  </si>
  <si>
    <t>ammo_5.7x28_ss195_bad</t>
  </si>
  <si>
    <t>ammo_5.7x28_ss195_verybad</t>
  </si>
  <si>
    <t>ammo_7.62x25_p</t>
  </si>
  <si>
    <t>Bdy_Part</t>
  </si>
  <si>
    <t>Lmb_Mul</t>
  </si>
  <si>
    <t>ammo_7.62x25_p_bad</t>
  </si>
  <si>
    <t>head</t>
  </si>
  <si>
    <t>ammo_7.62x25_p_verybad</t>
  </si>
  <si>
    <t>af_kev</t>
  </si>
  <si>
    <t>ammo_7.62x25_ps</t>
  </si>
  <si>
    <t>af_kev_up</t>
  </si>
  <si>
    <t>limbs</t>
  </si>
  <si>
    <t>ammo_7.62x25_ps_bad</t>
  </si>
  <si>
    <t>af_plt</t>
  </si>
  <si>
    <t>ammo_7.62x25_ps_verybad</t>
  </si>
  <si>
    <t>af_plt_up</t>
  </si>
  <si>
    <t>ammo_11.43x23_fmj</t>
  </si>
  <si>
    <t>ammo_11.43x23_fmj_bad</t>
  </si>
  <si>
    <t>Legend</t>
  </si>
  <si>
    <t>ammo_11.43x23_fmj_verybad</t>
  </si>
  <si>
    <r>
      <rPr>
        <b/>
        <sz val="11"/>
        <color theme="1"/>
        <rFont val="Aptos Narrow"/>
        <family val="2"/>
        <scheme val="minor"/>
      </rPr>
      <t>Ammo</t>
    </r>
    <r>
      <rPr>
        <sz val="11"/>
        <color theme="1"/>
        <rFont val="Aptos Narrow"/>
        <family val="2"/>
        <scheme val="minor"/>
      </rPr>
      <t xml:space="preserve"> - Bullet to calculate damage on, the name matches the ingame item ID.
</t>
    </r>
    <r>
      <rPr>
        <b/>
        <sz val="11"/>
        <color theme="1"/>
        <rFont val="Aptos Narrow"/>
        <family val="2"/>
        <scheme val="minor"/>
      </rPr>
      <t>K_hit</t>
    </r>
    <r>
      <rPr>
        <sz val="11"/>
        <color theme="1"/>
        <rFont val="Aptos Narrow"/>
        <family val="2"/>
        <scheme val="minor"/>
      </rPr>
      <t xml:space="preserve"> - this is an ammo parameter determing the damage from the bullet ONLY. This setup currently isn't factoring any hit_power from weapons that isn't 1.
</t>
    </r>
    <r>
      <rPr>
        <b/>
        <sz val="11"/>
        <color theme="1"/>
        <rFont val="Aptos Narrow"/>
        <family val="2"/>
        <scheme val="minor"/>
      </rPr>
      <t>K_Ap</t>
    </r>
    <r>
      <rPr>
        <sz val="11"/>
        <color theme="1"/>
        <rFont val="Aptos Narrow"/>
        <family val="2"/>
        <scheme val="minor"/>
      </rPr>
      <t xml:space="preserve"> - This is an ammo parameter determining armor penetration.
</t>
    </r>
    <r>
      <rPr>
        <b/>
        <sz val="11"/>
        <color theme="1"/>
        <rFont val="Aptos Narrow"/>
        <family val="2"/>
        <scheme val="minor"/>
      </rPr>
      <t>Armor_BR</t>
    </r>
    <r>
      <rPr>
        <sz val="11"/>
        <color theme="1"/>
        <rFont val="Aptos Narrow"/>
        <family val="2"/>
        <scheme val="minor"/>
      </rPr>
      <t xml:space="preserve"> - this is the armor BR class, Standard values: light 0.01-0.2, medium 0.3-0.5, heavy 0.6-0.9
</t>
    </r>
    <r>
      <rPr>
        <b/>
        <sz val="11"/>
        <color theme="1"/>
        <rFont val="Aptos Narrow"/>
        <family val="2"/>
        <scheme val="minor"/>
      </rPr>
      <t>Plate</t>
    </r>
    <r>
      <rPr>
        <sz val="11"/>
        <color theme="1"/>
        <rFont val="Aptos Narrow"/>
        <family val="2"/>
        <scheme val="minor"/>
      </rPr>
      <t xml:space="preserve"> - this is the armor plates that go in belt slots. These only apply to the torso.
</t>
    </r>
    <r>
      <rPr>
        <b/>
        <sz val="11"/>
        <color theme="1"/>
        <rFont val="Aptos Narrow"/>
        <family val="2"/>
        <scheme val="minor"/>
      </rPr>
      <t>Plate_BR</t>
    </r>
    <r>
      <rPr>
        <sz val="11"/>
        <color theme="1"/>
        <rFont val="Aptos Narrow"/>
        <family val="2"/>
        <scheme val="minor"/>
      </rPr>
      <t xml:space="preserve"> - this is the BR the plate provides, it can be configured in the plate table.
</t>
    </r>
    <r>
      <rPr>
        <b/>
        <sz val="11"/>
        <color theme="1"/>
        <rFont val="Aptos Narrow"/>
        <family val="2"/>
        <scheme val="minor"/>
      </rPr>
      <t>Final_BR</t>
    </r>
    <r>
      <rPr>
        <sz val="11"/>
        <color theme="1"/>
        <rFont val="Aptos Narrow"/>
        <family val="2"/>
        <scheme val="minor"/>
      </rPr>
      <t xml:space="preserve"> - this is your armor_BR+plate_BR if torso limb is selected. This will default to your Armor_BR only if you select head/limbs.
</t>
    </r>
    <r>
      <rPr>
        <b/>
        <sz val="11"/>
        <color theme="1"/>
        <rFont val="Aptos Narrow"/>
        <family val="2"/>
        <scheme val="minor"/>
      </rPr>
      <t>Pen_Ratio</t>
    </r>
    <r>
      <rPr>
        <sz val="11"/>
        <color theme="1"/>
        <rFont val="Aptos Narrow"/>
        <family val="2"/>
        <scheme val="minor"/>
      </rPr>
      <t xml:space="preserve"> - this is the AP multipler used against damage based upon the ammos AP vs the BR of your armor. It will never exceed 1 if your pen is higher than the BR, otherwise it would increase damage.
</t>
    </r>
    <r>
      <rPr>
        <b/>
        <sz val="11"/>
        <color theme="1"/>
        <rFont val="Aptos Narrow"/>
        <family val="2"/>
        <scheme val="minor"/>
      </rPr>
      <t>ArtProt</t>
    </r>
    <r>
      <rPr>
        <sz val="11"/>
        <color theme="1"/>
        <rFont val="Aptos Narrow"/>
        <family val="2"/>
        <scheme val="minor"/>
      </rPr>
      <t xml:space="preserve"> - this is Bullet Resistance supplied from any artifacts/pelts. This value is the total percentage found on the bottom of the ingame UI.
</t>
    </r>
    <r>
      <rPr>
        <b/>
        <sz val="11"/>
        <color theme="1"/>
        <rFont val="Aptos Narrow"/>
        <family val="2"/>
        <scheme val="minor"/>
      </rPr>
      <t>Limb_Mul</t>
    </r>
    <r>
      <rPr>
        <sz val="11"/>
        <color theme="1"/>
        <rFont val="Aptos Narrow"/>
        <family val="2"/>
        <scheme val="minor"/>
      </rPr>
      <t xml:space="preserve"> - the limb damage multiplier, against NPC the standard is 3.0 for head, 1.0 for torso, and 0.7 for limbs.
</t>
    </r>
    <r>
      <rPr>
        <b/>
        <sz val="11"/>
        <color theme="1"/>
        <rFont val="Aptos Narrow"/>
        <family val="2"/>
        <scheme val="minor"/>
      </rPr>
      <t xml:space="preserve">Damage </t>
    </r>
    <r>
      <rPr>
        <sz val="11"/>
        <color theme="1"/>
        <rFont val="Aptos Narrow"/>
        <family val="2"/>
        <scheme val="minor"/>
      </rPr>
      <t xml:space="preserve">- the calculated damage with all provided data.
</t>
    </r>
    <r>
      <rPr>
        <b/>
        <sz val="11"/>
        <color theme="1"/>
        <rFont val="Aptos Narrow"/>
        <family val="2"/>
        <scheme val="minor"/>
      </rPr>
      <t xml:space="preserve">BTK </t>
    </r>
    <r>
      <rPr>
        <sz val="11"/>
        <color theme="1"/>
        <rFont val="Aptos Narrow"/>
        <family val="2"/>
        <scheme val="minor"/>
      </rPr>
      <t>- Bullets to Kill, the total number of bullets to kill a target assuming all hits land on the same body part and it doesn't heal itself.
Overview: This calculation is based on the damage rework I made for Stalker Anomaly GAMMA that can be found at either link below. This simplifies the calculation overall, and applies to both damage to player, and damage to NPCs from the player.
Mike O'brien</t>
    </r>
  </si>
  <si>
    <t>ammo_11.43x23_hydro</t>
  </si>
  <si>
    <t>ammo_11.43x23_hydro_bad</t>
  </si>
  <si>
    <t>ammo_11.43x23_hydro_verybad</t>
  </si>
  <si>
    <t>ammo_5.45x39_fmj</t>
  </si>
  <si>
    <t>ammo_5.45x39_fmj_bad</t>
  </si>
  <si>
    <t>ammo_5.45x39_fmj_verybad</t>
  </si>
  <si>
    <t>ammo_5.45x39_ep</t>
  </si>
  <si>
    <t>ammo_5.45x39_ep_bad</t>
  </si>
  <si>
    <t>ammo_5.45x39_ep_verybad</t>
  </si>
  <si>
    <t>ammo_5.45x39_ap</t>
  </si>
  <si>
    <t>ammo_5.45x39_ap_bad</t>
  </si>
  <si>
    <t>ammo_5.45x39_ap_verybad</t>
  </si>
  <si>
    <t>ammo_5.56x45_fmj</t>
  </si>
  <si>
    <t>ammo_5.56x45_fmj_bad</t>
  </si>
  <si>
    <t>ammo_5.56x45_fmj_verybad</t>
  </si>
  <si>
    <t>ammo_5.56x45_ss190</t>
  </si>
  <si>
    <t>ammo_5.56x45_ss190_bad</t>
  </si>
  <si>
    <t>ammo_5.56x45_ss190_verybad</t>
  </si>
  <si>
    <t>ammo_5.56x45_ap</t>
  </si>
  <si>
    <t>ammo_5.56x45_ap_bad</t>
  </si>
  <si>
    <t>ModDB Link</t>
  </si>
  <si>
    <t>ammo_5.56x45_ap_verybad</t>
  </si>
  <si>
    <t>GitHub Link</t>
  </si>
  <si>
    <t>ammo_9x39_pab9</t>
  </si>
  <si>
    <t>ammo_9x39_pab9_bad</t>
  </si>
  <si>
    <t>ammo_9x39_pab9_verybad</t>
  </si>
  <si>
    <t>ammo_9x39_ap</t>
  </si>
  <si>
    <t>ammo_9x39_ap_bad</t>
  </si>
  <si>
    <t>ammo_9x39_ap_verybad</t>
  </si>
  <si>
    <t>ammo_12x70_buck_bad</t>
  </si>
  <si>
    <t>ammo_12x70_buck_verybad</t>
  </si>
  <si>
    <t>ammo_12x76_zhekan</t>
  </si>
  <si>
    <t>ammo_12x76_zhekan_bad</t>
  </si>
  <si>
    <t>ammo_12x76_zhekan_verybad</t>
  </si>
  <si>
    <t>ammo_12x70_buck_self</t>
  </si>
  <si>
    <t>ammo_12x76_bull</t>
  </si>
  <si>
    <t>ammo_12x76_dart</t>
  </si>
  <si>
    <t>ammo_12x76_dart_bad</t>
  </si>
  <si>
    <t>ammo_12x76_dart_verybad</t>
  </si>
  <si>
    <t>ammo_12x76_zhekan_heli</t>
  </si>
  <si>
    <t>ammo_7.62x39_fmj</t>
  </si>
  <si>
    <t>ammo_7.62x39_fmj_bad</t>
  </si>
  <si>
    <t>ammo_7.62x39_fmj_verybad</t>
  </si>
  <si>
    <t>ammo_7.62x39_ap</t>
  </si>
  <si>
    <t>ammo_7.62x39_ap_bad</t>
  </si>
  <si>
    <t>ammo_7.62x39_ap_verybad</t>
  </si>
  <si>
    <t>ammo_7.92x33_fmj</t>
  </si>
  <si>
    <t>ammo_7.92x33_fmj_bad</t>
  </si>
  <si>
    <t>ammo_7.92x33_fmj_verybad</t>
  </si>
  <si>
    <t>ammo_7.92x33_ap</t>
  </si>
  <si>
    <t>ammo_7.92x33_ap_bad</t>
  </si>
  <si>
    <t>ammo_7.92x33_ap_verybad</t>
  </si>
  <si>
    <t>ammo_7.62x51_fmj</t>
  </si>
  <si>
    <t>ammo_7.62x51_fmj_bad</t>
  </si>
  <si>
    <t>ammo_7.62x51_fmj_verybad</t>
  </si>
  <si>
    <t>ammo_7.62x51_ap</t>
  </si>
  <si>
    <t>ammo_7.62x51_ap_bad</t>
  </si>
  <si>
    <t>ammo_7.62x51_ap_verybad</t>
  </si>
  <si>
    <t>ammo_pkm_100</t>
  </si>
  <si>
    <t>ammo_pkm_100_bad</t>
  </si>
  <si>
    <t>ammo_pkm_100_verybad</t>
  </si>
  <si>
    <t>ammo_7.62x54_7h1</t>
  </si>
  <si>
    <t>ammo_7.62x54_7h1_bad</t>
  </si>
  <si>
    <t>ammo_7.62x54_7h1_verybad</t>
  </si>
  <si>
    <t>ammo_7.62x54_ap</t>
  </si>
  <si>
    <t>ammo_7.62x54_ap_bad</t>
  </si>
  <si>
    <t>ammo_7.62x54_ap_verybad</t>
  </si>
  <si>
    <t>ammo_4.6x30_fmj</t>
  </si>
  <si>
    <t>ammo_4.6x30_fmj_bad</t>
  </si>
  <si>
    <t>ammo_4.6x30_fmj_verybad</t>
  </si>
  <si>
    <t>ammo_7.62x54_7h14</t>
  </si>
  <si>
    <t>ammo_7.62x54_7h14_bad</t>
  </si>
  <si>
    <t>ammo_7.62x54_7h14_verybad</t>
  </si>
  <si>
    <t>ammo_12.7x55_fmj</t>
  </si>
  <si>
    <t>ammo_12.7x55_fmj_bad</t>
  </si>
  <si>
    <t>ammo_12.7x55_fmj_verybad</t>
  </si>
  <si>
    <t>ammo_12.7x55_ap</t>
  </si>
  <si>
    <t>ammo_12.7x55_ap_bad</t>
  </si>
  <si>
    <t>ammo_12.7x55_ap_verybad</t>
  </si>
  <si>
    <t>ammo_magnum_300</t>
  </si>
  <si>
    <t>ammo_magnum_300_bad</t>
  </si>
  <si>
    <t>ammo_magnum_300_verybad</t>
  </si>
  <si>
    <t>ammo_357_hp_mag</t>
  </si>
  <si>
    <t>ammo_357_hp_mag_bad</t>
  </si>
  <si>
    <t>ammo_357_hp_mag_verybad</t>
  </si>
  <si>
    <t>ammo_50_bmg</t>
  </si>
  <si>
    <t>ammo_50_bmg_bad</t>
  </si>
  <si>
    <t>ammo_50_bmg_verybad</t>
  </si>
  <si>
    <t>ammo_vog-25</t>
  </si>
  <si>
    <t>ammo_vog-25_bad</t>
  </si>
  <si>
    <t>ammo_vog-25_verybad</t>
  </si>
  <si>
    <t>ammo_m209</t>
  </si>
  <si>
    <t>ammo_m209_bad</t>
  </si>
  <si>
    <t>ammo_m209_verybad</t>
  </si>
  <si>
    <t>ammo_og-7b</t>
  </si>
  <si>
    <t>ammo_og-7b_bad</t>
  </si>
  <si>
    <t>ammo_og-7b_verybad</t>
  </si>
  <si>
    <t>ammo_gauss</t>
  </si>
  <si>
    <t>ammo_gauss_bad</t>
  </si>
  <si>
    <t>ammo_gauss_verybad</t>
  </si>
  <si>
    <t>ammo_23x75_barrikada</t>
  </si>
  <si>
    <t>ammo_20x70_buck</t>
  </si>
  <si>
    <t>ammo_338_federal</t>
  </si>
  <si>
    <t>ammo_9x21_sp10</t>
  </si>
  <si>
    <t>ammo_300blk_fmj</t>
  </si>
  <si>
    <t>ammo_300blk_ap</t>
  </si>
  <si>
    <t>Mut_Mul</t>
  </si>
  <si>
    <t>Bone_Mult</t>
  </si>
  <si>
    <t>Dam_Mul</t>
  </si>
  <si>
    <t>BTK</t>
  </si>
  <si>
    <t>Buck_Count</t>
  </si>
  <si>
    <t>BTK_Buck</t>
  </si>
  <si>
    <r>
      <rPr>
        <b/>
        <sz val="11"/>
        <color theme="1"/>
        <rFont val="Aptos Narrow"/>
        <family val="2"/>
        <scheme val="minor"/>
      </rPr>
      <t>Ammo</t>
    </r>
    <r>
      <rPr>
        <sz val="11"/>
        <color theme="1"/>
        <rFont val="Aptos Narrow"/>
        <family val="2"/>
        <scheme val="minor"/>
      </rPr>
      <t xml:space="preserve"> - Bullet to calculate damage on, the name matches the ingame item ID.
</t>
    </r>
    <r>
      <rPr>
        <b/>
        <sz val="11"/>
        <color theme="1"/>
        <rFont val="Aptos Narrow"/>
        <family val="2"/>
        <scheme val="minor"/>
      </rPr>
      <t>K_hit</t>
    </r>
    <r>
      <rPr>
        <sz val="11"/>
        <color theme="1"/>
        <rFont val="Aptos Narrow"/>
        <family val="2"/>
        <scheme val="minor"/>
      </rPr>
      <t xml:space="preserve"> - this is an ammo parameter determing the damage from the bullet ONLY. This setup currently isn't factoring any hit_power from weapons that isn't 1.
</t>
    </r>
    <r>
      <rPr>
        <b/>
        <sz val="11"/>
        <color theme="1"/>
        <rFont val="Aptos Narrow"/>
        <family val="2"/>
        <scheme val="minor"/>
      </rPr>
      <t>K_Ap</t>
    </r>
    <r>
      <rPr>
        <sz val="11"/>
        <color theme="1"/>
        <rFont val="Aptos Narrow"/>
        <family val="2"/>
        <scheme val="minor"/>
      </rPr>
      <t xml:space="preserve"> - This is an ammo parameter determining armor penetration.
</t>
    </r>
    <r>
      <rPr>
        <b/>
        <sz val="11"/>
        <color theme="1"/>
        <rFont val="Aptos Narrow"/>
        <family val="2"/>
        <scheme val="minor"/>
      </rPr>
      <t xml:space="preserve">Mut_Mul - </t>
    </r>
    <r>
      <rPr>
        <sz val="11"/>
        <color theme="1"/>
        <rFont val="Aptos Narrow"/>
        <family val="2"/>
        <scheme val="minor"/>
      </rPr>
      <t xml:space="preserve">the spec_monster_mul value found in the mod_system_zzzzzzzzzzzzzzzzz_mutant_health.ltx, multiplied against the k_hit.
</t>
    </r>
    <r>
      <rPr>
        <b/>
        <sz val="11"/>
        <color theme="1"/>
        <rFont val="Aptos Narrow"/>
        <family val="2"/>
        <scheme val="minor"/>
      </rPr>
      <t>Bone_Mul</t>
    </r>
    <r>
      <rPr>
        <sz val="11"/>
        <color theme="1"/>
        <rFont val="Aptos Narrow"/>
        <family val="2"/>
        <scheme val="minor"/>
      </rPr>
      <t xml:space="preserve"> - Multiplier from the mutant bone, this is found in mod_system_zzzzzzzzzzzzzzzzz_mutant_health.ltx.
</t>
    </r>
    <r>
      <rPr>
        <b/>
        <sz val="11"/>
        <color theme="1"/>
        <rFont val="Aptos Narrow"/>
        <family val="2"/>
        <scheme val="minor"/>
      </rPr>
      <t xml:space="preserve">Dam_Mul </t>
    </r>
    <r>
      <rPr>
        <sz val="11"/>
        <color theme="1"/>
        <rFont val="Aptos Narrow"/>
        <family val="2"/>
        <scheme val="minor"/>
      </rPr>
      <t xml:space="preserve">- the calculated damage with all provided data.
</t>
    </r>
    <r>
      <rPr>
        <b/>
        <sz val="11"/>
        <color theme="1"/>
        <rFont val="Aptos Narrow"/>
        <family val="2"/>
        <scheme val="minor"/>
      </rPr>
      <t xml:space="preserve">BTK </t>
    </r>
    <r>
      <rPr>
        <sz val="11"/>
        <color theme="1"/>
        <rFont val="Aptos Narrow"/>
        <family val="2"/>
        <scheme val="minor"/>
      </rPr>
      <t xml:space="preserve">- Bullets to Kill, the total number of bullets to kill a target assuming all hits land on the same body part and it doesn't heal itself.
</t>
    </r>
    <r>
      <rPr>
        <b/>
        <sz val="11"/>
        <color theme="1"/>
        <rFont val="Aptos Narrow"/>
        <family val="2"/>
        <scheme val="minor"/>
      </rPr>
      <t xml:space="preserve">Buck Count </t>
    </r>
    <r>
      <rPr>
        <sz val="11"/>
        <color theme="1"/>
        <rFont val="Aptos Narrow"/>
        <family val="2"/>
        <scheme val="minor"/>
      </rPr>
      <t xml:space="preserve">- Pellet count of a buckshot, 9 for 12 gauge, 6 for 4 gauge.
</t>
    </r>
    <r>
      <rPr>
        <b/>
        <sz val="11"/>
        <color theme="1"/>
        <rFont val="Aptos Narrow"/>
        <family val="2"/>
        <scheme val="minor"/>
      </rPr>
      <t xml:space="preserve">BTK_Buck </t>
    </r>
    <r>
      <rPr>
        <sz val="11"/>
        <color theme="1"/>
        <rFont val="Aptos Narrow"/>
        <family val="2"/>
        <scheme val="minor"/>
      </rPr>
      <t>- Based on pellet count how many buckshot to kill assuming all pellets hit.
Overview: This calculation is based on the damage rework I made for Stalker Anomaly GAMMA that can be found at either link below.
Mike O'brien</t>
    </r>
  </si>
  <si>
    <t>Loner</t>
  </si>
  <si>
    <t>Freedom</t>
  </si>
  <si>
    <t>Duty</t>
  </si>
  <si>
    <t>Merc</t>
  </si>
  <si>
    <t>Clear Sky</t>
  </si>
  <si>
    <t>Military</t>
  </si>
  <si>
    <t>Bandit</t>
  </si>
  <si>
    <t>Renegade</t>
  </si>
  <si>
    <t>Burn</t>
  </si>
  <si>
    <t>Medium</t>
  </si>
  <si>
    <t>Low</t>
  </si>
  <si>
    <t>High</t>
  </si>
  <si>
    <t>Chem</t>
  </si>
  <si>
    <t>Shock</t>
  </si>
  <si>
    <t>Rad</t>
  </si>
  <si>
    <t>Psi</t>
  </si>
  <si>
    <t>Strike</t>
  </si>
  <si>
    <t>Explo</t>
  </si>
  <si>
    <t>Wound</t>
  </si>
  <si>
    <t>Monolith</t>
  </si>
  <si>
    <t>Ecolog</t>
  </si>
  <si>
    <t>ISG</t>
  </si>
  <si>
    <t>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</si>
</sst>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s>
  <fills count="14">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00B050"/>
        <bgColor indexed="64"/>
      </patternFill>
    </fill>
    <fill>
      <patternFill patternType="solid">
        <fgColor rgb="FFC00000"/>
        <bgColor indexed="64"/>
      </patternFill>
    </fill>
    <fill>
      <patternFill patternType="solid">
        <fgColor theme="3" tint="0.499984740745262"/>
        <bgColor indexed="64"/>
      </patternFill>
    </fill>
    <fill>
      <patternFill patternType="solid">
        <fgColor theme="3" tint="0.89999084444715716"/>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tint="0.59999389629810485"/>
        <bgColor indexed="64"/>
      </patternFill>
    </fill>
  </fills>
  <borders count="13">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32">
    <xf numFmtId="0" fontId="0" fillId="0" borderId="0" xfId="0"/>
    <xf numFmtId="164" fontId="0" fillId="0" borderId="0" xfId="0" applyNumberFormat="1"/>
    <xf numFmtId="9" fontId="0" fillId="0" borderId="0" xfId="1" applyFont="1"/>
    <xf numFmtId="165" fontId="0" fillId="0" borderId="0" xfId="0" applyNumberFormat="1"/>
    <xf numFmtId="1" fontId="0" fillId="0" borderId="0" xfId="0" applyNumberFormat="1"/>
    <xf numFmtId="2" fontId="0" fillId="0" borderId="0" xfId="0" applyNumberFormat="1"/>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0" fillId="0" borderId="4" xfId="0" applyBorder="1" applyAlignment="1">
      <alignment horizontal="left" vertical="top" wrapText="1"/>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3" fillId="0" borderId="0" xfId="2"/>
    <xf numFmtId="0" fontId="0" fillId="0" borderId="0" xfId="0" applyAlignment="1">
      <alignment horizontal="center"/>
    </xf>
    <xf numFmtId="1" fontId="0" fillId="0" borderId="0" xfId="1" applyNumberFormat="1" applyFont="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cellXfs>
  <cellStyles count="3">
    <cellStyle name="Hyperlink" xfId="2" builtinId="8"/>
    <cellStyle name="Normal" xfId="0" builtinId="0"/>
    <cellStyle name="Percent" xfId="1" builtinId="5"/>
  </cellStyles>
  <dxfs count="61">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numFmt numFmtId="1" formatCode="0"/>
    </dxf>
    <dxf>
      <font>
        <b val="0"/>
        <i val="0"/>
        <strike val="0"/>
        <condense val="0"/>
        <extend val="0"/>
        <outline val="0"/>
        <shadow val="0"/>
        <u val="none"/>
        <vertAlign val="baseline"/>
        <sz val="11"/>
        <color theme="1"/>
        <name val="Aptos Narrow"/>
        <family val="2"/>
        <scheme val="minor"/>
      </font>
      <numFmt numFmtId="1" formatCode="0"/>
    </dxf>
    <dxf>
      <numFmt numFmtId="1" formatCode="0"/>
    </dxf>
    <dxf>
      <numFmt numFmtId="164" formatCode="0.000"/>
    </dxf>
    <dxf>
      <numFmt numFmtId="2" formatCode="0.00"/>
    </dxf>
    <dxf>
      <numFmt numFmtId="1" formatCode="0"/>
    </dxf>
    <dxf>
      <numFmt numFmtId="1" formatCode="0"/>
    </dxf>
    <dxf>
      <numFmt numFmtId="1" formatCode="0"/>
    </dxf>
    <dxf>
      <numFmt numFmtId="164" formatCode="0.000"/>
    </dxf>
    <dxf>
      <numFmt numFmtId="2" formatCode="0.00"/>
    </dxf>
    <dxf>
      <numFmt numFmtId="2" formatCode="0.00"/>
    </dxf>
    <dxf>
      <numFmt numFmtId="164" formatCode="0.000"/>
    </dxf>
    <dxf>
      <numFmt numFmtId="164" formatCode="0.000"/>
    </dxf>
    <dxf>
      <numFmt numFmtId="0" formatCode="General"/>
    </dxf>
    <dxf>
      <font>
        <b val="0"/>
        <i val="0"/>
        <strike val="0"/>
        <condense val="0"/>
        <extend val="0"/>
        <outline val="0"/>
        <shadow val="0"/>
        <u val="none"/>
        <vertAlign val="baseline"/>
        <sz val="11"/>
        <color theme="1"/>
        <name val="Aptos Narrow"/>
        <family val="2"/>
        <scheme val="minor"/>
      </font>
    </dxf>
    <dxf>
      <numFmt numFmtId="164" formatCode="0.000"/>
    </dxf>
    <dxf>
      <numFmt numFmtId="164" formatCode="0.000"/>
    </dxf>
    <dxf>
      <numFmt numFmtId="0" formatCode="General"/>
    </dxf>
    <dxf>
      <numFmt numFmtId="2" formatCode="0.00"/>
    </dxf>
    <dxf>
      <numFmt numFmtId="164" formatCode="0.000"/>
    </dxf>
    <dxf>
      <numFmt numFmtId="165" formatCode="0.0"/>
    </dxf>
    <dxf>
      <numFmt numFmtId="0" formatCode="General"/>
    </dxf>
    <dxf>
      <numFmt numFmtId="164" formatCode="0.000"/>
    </dxf>
    <dxf>
      <numFmt numFmtId="164" formatCode="0.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0DEF48-F53F-46D6-BE9E-C659AEFAEBA8}" name="Table13" displayName="Table13" ref="A1:C140" totalsRowShown="0">
  <autoFilter ref="A1:C140" xr:uid="{40DE91B7-06A8-4969-BCD8-AE259DF482EB}"/>
  <tableColumns count="3">
    <tableColumn id="1" xr3:uid="{95AD0307-A3B0-4F60-A21B-5E9755FA9F37}" name="Bullet"/>
    <tableColumn id="2" xr3:uid="{0D6255E2-609A-4F0B-BE55-5D2BEE712C3D}" name="K_hit"/>
    <tableColumn id="3" xr3:uid="{F1C7FEC8-758D-4EFA-A736-243072AEE516}" name="K_Ap"/>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05C57E-2E17-431B-8F0B-54DA07F5EFE5}" name="Table14" displayName="Table14" ref="H26:I29" totalsRowShown="0">
  <autoFilter ref="H26:I29" xr:uid="{006C67A7-EEA9-4271-98D0-1991C674643A}"/>
  <tableColumns count="2">
    <tableColumn id="1" xr3:uid="{E805759C-B582-42CD-9246-F3E035AFE5E7}" name="Bdy_Part"/>
    <tableColumn id="2" xr3:uid="{6982B2FB-EA3C-4021-B322-03A542EA2D51}" name="Lmb_Mu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905F5F-65B9-4677-87DB-0FE243A00632}" name="Table15" displayName="Table15" ref="E26:F31" totalsRowShown="0">
  <autoFilter ref="E26:F31" xr:uid="{A66454DE-3F4D-4263-90BB-E6B18D11774C}"/>
  <tableColumns count="2">
    <tableColumn id="1" xr3:uid="{00267359-4080-47B9-865B-2A4461213F25}" name="Plate"/>
    <tableColumn id="2" xr3:uid="{4ACCBC02-5153-423A-AFF5-7E7017C7A4E9}" name="Plate_B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983D2FB-8113-4A3E-A3F6-0ECB3C470E29}" name="Table16" displayName="Table16" ref="E1:Q11" totalsRowShown="0">
  <autoFilter ref="E1:Q11" xr:uid="{1E1B6C50-4D3B-41E9-A28F-FF068A2F68D3}"/>
  <tableColumns count="13">
    <tableColumn id="1" xr3:uid="{82B1A7B7-B513-4A77-9972-673314637F55}" name="Ammo"/>
    <tableColumn id="2" xr3:uid="{0F3D9F19-4BCD-4F53-85DF-CA755CD6FFC9}" name="k_hit">
      <calculatedColumnFormula array="1">_xlfn.XLOOKUP(E2, Table13[[#All],[Bullet]], Table13[[#All],[K_hit]], nil)</calculatedColumnFormula>
    </tableColumn>
    <tableColumn id="3" xr3:uid="{BD5A2BC4-AB51-47A1-8A54-0BE27BF2CB20}" name="K_Ap">
      <calculatedColumnFormula array="1">_xlfn.XLOOKUP(E2, Table13[[#All],[Bullet]], Table13[[#All],[K_Ap]], nil)</calculatedColumnFormula>
    </tableColumn>
    <tableColumn id="4" xr3:uid="{FD123776-2E2C-4C0E-81DD-C483ECCB379F}" name="Armor_BR"/>
    <tableColumn id="5" xr3:uid="{514D2942-DFA9-454F-B089-CE663D6AF2BA}" name="Plate"/>
    <tableColumn id="6" xr3:uid="{133061A3-F18F-4675-9FC9-4332F4461752}" name="Plate_BR" dataDxfId="60">
      <calculatedColumnFormula array="1">_xlfn.XLOOKUP(I2, Table15[[#All],[Plate]], Table15[[#All],[Plate_BR]])</calculatedColumnFormula>
    </tableColumn>
    <tableColumn id="7" xr3:uid="{C5013DE3-5D55-4947-9EBD-CC5B0DC0E7E9}" name="Final_BR" dataDxfId="59">
      <calculatedColumnFormula>IF(N2="torso", H2+J2, H2)</calculatedColumnFormula>
    </tableColumn>
    <tableColumn id="16" xr3:uid="{67E23787-30EB-472E-821A-EAAC34B9FA4C}" name="Pen_Ratio" dataDxfId="58">
      <calculatedColumnFormula>IF(G2/K2&gt;1, 1, G2/K2)</calculatedColumnFormula>
    </tableColumn>
    <tableColumn id="8" xr3:uid="{FF1A2482-66CC-4BD2-ABD0-346EA780A005}" name="ArtProt" dataCellStyle="Percent"/>
    <tableColumn id="9" xr3:uid="{0B15679A-420D-4257-A518-0EAC3082E724}" name="Limb" dataDxfId="57"/>
    <tableColumn id="10" xr3:uid="{0B8EE986-9640-47CF-AF98-F7674E1051A3}" name="Limb_Mul" dataDxfId="56">
      <calculatedColumnFormula array="1">_xlfn.XLOOKUP(Table16[[#This Row],[Limb]], Table14[[#All],[Bdy_Part]], Table14[[#All],[Lmb_Mul]])</calculatedColumnFormula>
    </tableColumn>
    <tableColumn id="14" xr3:uid="{951034AA-3DF3-43B6-837F-81A59B4DF008}" name="Damage" dataDxfId="55">
      <calculatedColumnFormula>SUM(((F2*L2)*(1-M2))*O2)</calculatedColumnFormula>
    </tableColumn>
    <tableColumn id="12" xr3:uid="{1332E666-A7A6-4360-A2CE-DBF4A7827E2A}" name="btk" dataDxfId="54">
      <calculatedColumnFormula>ROUNDUP(1/P2,0)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86563B7-7680-4FC2-ACF2-7830F1602B7D}" name="Table1617" displayName="Table1617" ref="E13:Q23" totalsRowShown="0">
  <autoFilter ref="E13:Q23" xr:uid="{447D6412-4C66-4109-AFAD-B5597485C739}"/>
  <tableColumns count="13">
    <tableColumn id="1" xr3:uid="{76E4490B-7A2E-4309-B836-908A466DFC2F}" name="Ammo"/>
    <tableColumn id="2" xr3:uid="{D9C13142-FCF3-481C-B8E5-F2746BE4BFC9}" name="k_hit">
      <calculatedColumnFormula array="1">_xlfn.XLOOKUP(E14, Table13[[#All],[Bullet]], Table13[[#All],[K_hit]], nil)</calculatedColumnFormula>
    </tableColumn>
    <tableColumn id="3" xr3:uid="{547A948B-7430-4599-8BAA-EE18E9FE5E79}" name="K_Ap">
      <calculatedColumnFormula array="1">_xlfn.XLOOKUP(E14, Table13[[#All],[Bullet]], Table13[[#All],[K_Ap]], nil)</calculatedColumnFormula>
    </tableColumn>
    <tableColumn id="4" xr3:uid="{197F8A51-A982-436D-934C-B6490F29C67C}" name="Armor_BR"/>
    <tableColumn id="5" xr3:uid="{2B6C1CFE-7C7A-47D2-B09C-FAA4AE788A39}" name="Plate"/>
    <tableColumn id="6" xr3:uid="{EC1AD4D1-0238-4F82-B60F-3FFE856FA135}" name="Plate_BR" dataDxfId="53">
      <calculatedColumnFormula array="1">_xlfn.XLOOKUP(I14, Table15[[#All],[Plate]], Table15[[#All],[Plate_BR]])</calculatedColumnFormula>
    </tableColumn>
    <tableColumn id="7" xr3:uid="{63434C0C-E483-42F5-8FF6-EEAC17CEEB95}" name="Final_BR" dataDxfId="52">
      <calculatedColumnFormula>IF(N14="torso", H14+J14, H14)</calculatedColumnFormula>
    </tableColumn>
    <tableColumn id="16" xr3:uid="{B0A58B4D-1928-48B2-AD83-F602C24F84CB}" name="Pen_Ratio" dataDxfId="51">
      <calculatedColumnFormula>IF(G14/K14&gt;1, 1, G14/K14)</calculatedColumnFormula>
    </tableColumn>
    <tableColumn id="8" xr3:uid="{1050850E-D4B4-4F2C-9E84-A5FDB621B5CE}" name="ArtProt" dataDxfId="50" dataCellStyle="Percent"/>
    <tableColumn id="9" xr3:uid="{C503E80C-0C9F-4E1B-A829-26D6A73C89C4}" name="Limb" dataDxfId="49"/>
    <tableColumn id="10" xr3:uid="{EAEE9B2A-ED7D-4EDE-9BD8-79E036574A69}" name="Limb_Mul" dataDxfId="48">
      <calculatedColumnFormula array="1">_xlfn.XLOOKUP(Table1617[[#This Row],[Limb]], Table14[[#All],[Bdy_Part]], Table14[[#All],[Lmb_Mul]])</calculatedColumnFormula>
    </tableColumn>
    <tableColumn id="14" xr3:uid="{9BDE378A-1FEB-4675-8FB6-2F75A4212472}" name="Damage" dataDxfId="47">
      <calculatedColumnFormula>SUM(((F14*L14)*(1-M14))*O14)</calculatedColumnFormula>
    </tableColumn>
    <tableColumn id="12" xr3:uid="{4694605F-A69D-467D-A117-AFFF2F707A06}" name="btk" dataDxfId="46">
      <calculatedColumnFormula>ROUNDUP(1/P14,0)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0665A3C-756C-4C67-AFBD-38C1F831018B}" name="Table1320" displayName="Table1320" ref="A1:C140" totalsRowShown="0">
  <autoFilter ref="A1:C140" xr:uid="{40DE91B7-06A8-4969-BCD8-AE259DF482EB}"/>
  <tableColumns count="3">
    <tableColumn id="1" xr3:uid="{BD4265CB-79F4-41C6-94DD-B8AF4243D765}" name="Bullet"/>
    <tableColumn id="2" xr3:uid="{381AA3BE-869F-461F-B349-82FEF02311A0}" name="K_hit"/>
    <tableColumn id="3" xr3:uid="{9C688B3C-1322-4DA6-9D35-61F9F5777DD9}" name="K_Ap"/>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F45263B-77C6-45B2-A1F8-CDD67FFEE7B7}" name="Table1623" displayName="Table1623" ref="E1:M11" totalsRowShown="0">
  <autoFilter ref="E1:M11" xr:uid="{1E1B6C50-4D3B-41E9-A28F-FF068A2F68D3}"/>
  <tableColumns count="9">
    <tableColumn id="1" xr3:uid="{131F3C77-573F-4D78-B42C-059A37EBD09D}" name="Ammo"/>
    <tableColumn id="2" xr3:uid="{3245E18A-3F85-41BB-BDE2-4274F03C1911}" name="k_hit">
      <calculatedColumnFormula array="1">_xlfn.XLOOKUP(E2, Table1320[[#All],[Bullet]], Table1320[[#All],[K_hit]], nil)</calculatedColumnFormula>
    </tableColumn>
    <tableColumn id="3" xr3:uid="{FFA120B0-47C6-474C-9408-3A6F98A3DA73}" name="K_Ap">
      <calculatedColumnFormula array="1">_xlfn.XLOOKUP(E2, Table1320[[#All],[Bullet]], Table1320[[#All],[K_Ap]], nil)</calculatedColumnFormula>
    </tableColumn>
    <tableColumn id="4" xr3:uid="{892E90D0-FE6A-4CC4-B179-A40262966B7E}" name="Mut_Mul"/>
    <tableColumn id="5" xr3:uid="{0ABDA128-8540-4741-820F-E3A36C1F1ECF}" name="Bone_Mult" dataDxfId="45"/>
    <tableColumn id="6" xr3:uid="{A84B3F27-F5E8-4384-8714-163AE21631ED}" name="Dam_Mul" dataDxfId="44">
      <calculatedColumnFormula>SUM(((F2)*H2)*I2)</calculatedColumnFormula>
    </tableColumn>
    <tableColumn id="7" xr3:uid="{E867CDE0-FFDD-4DA9-82F5-174A63E19091}" name="BTK" dataDxfId="43">
      <calculatedColumnFormula>ROUNDUP(1/J2,0)</calculatedColumnFormula>
    </tableColumn>
    <tableColumn id="16" xr3:uid="{83D39C00-56E5-43D7-BF22-5C7CF6126841}" name="Buck_Count" dataDxfId="42" dataCellStyle="Percent"/>
    <tableColumn id="8" xr3:uid="{9A19DBC6-ECA8-4EAD-8EC5-EF1C0A2BDD48}" name="BTK_Buck" dataDxfId="41" dataCellStyle="Percent">
      <calculatedColumnFormula>ROUNDUP(K2/L2,0)</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DC18973-57F2-45F6-8D5A-7FC1B0906761}" name="Table161724" displayName="Table161724" ref="E13:M23" totalsRowShown="0">
  <autoFilter ref="E13:M23" xr:uid="{447D6412-4C66-4109-AFAD-B5597485C739}"/>
  <tableColumns count="9">
    <tableColumn id="1" xr3:uid="{7EA76C7A-848C-42D6-9796-F1E24B069C46}" name="Ammo"/>
    <tableColumn id="2" xr3:uid="{DA626B6A-7851-4176-8479-3CFD4F7A0C3A}" name="k_hit">
      <calculatedColumnFormula array="1">_xlfn.XLOOKUP(E14, Table1320[[#All],[Bullet]], Table1320[[#All],[K_hit]], nil)</calculatedColumnFormula>
    </tableColumn>
    <tableColumn id="3" xr3:uid="{5316C240-E238-4287-A33B-31515A562F87}" name="K_Ap">
      <calculatedColumnFormula array="1">_xlfn.XLOOKUP(E14, Table1320[[#All],[Bullet]], Table1320[[#All],[K_Ap]], nil)</calculatedColumnFormula>
    </tableColumn>
    <tableColumn id="4" xr3:uid="{DD4F893F-5518-4BD2-8579-16816DE1871E}" name="Mut_Mul"/>
    <tableColumn id="5" xr3:uid="{922723D6-4017-4261-BD49-5E5789EB77BE}" name="Bone_Mult" dataDxfId="40"/>
    <tableColumn id="6" xr3:uid="{1EF143BB-5455-4766-8412-36D8C26EE127}" name="Dam_Mul" dataDxfId="39">
      <calculatedColumnFormula>SUM(((F14)*H14)*I14)</calculatedColumnFormula>
    </tableColumn>
    <tableColumn id="7" xr3:uid="{0F7E56B7-E2A7-4069-ABFD-872921434D8A}" name="BTK" dataDxfId="38">
      <calculatedColumnFormula>ROUNDUP(1/J14,0)</calculatedColumnFormula>
    </tableColumn>
    <tableColumn id="8" xr3:uid="{1943C380-72AE-43D3-ACAB-3B9CC74A2374}" name="Buck_Count" dataDxfId="37" dataCellStyle="Percent"/>
    <tableColumn id="9" xr3:uid="{ADEE6D96-E4E3-424A-BB31-32018E55BB84}" name="BTK_Buck" dataDxfId="36">
      <calculatedColumnFormula>ROUNDUP(K14/L14,0)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5.xml"/><Relationship Id="rId3" Type="http://schemas.openxmlformats.org/officeDocument/2006/relationships/printerSettings" Target="../printerSettings/printerSettings1.bin"/><Relationship Id="rId7" Type="http://schemas.openxmlformats.org/officeDocument/2006/relationships/table" Target="../tables/table4.xml"/><Relationship Id="rId2" Type="http://schemas.openxmlformats.org/officeDocument/2006/relationships/hyperlink" Target="https://github.com/mike0brien/Obrien-s-GAMMA-Damage-and-Recoil-Rework" TargetMode="External"/><Relationship Id="rId1" Type="http://schemas.openxmlformats.org/officeDocument/2006/relationships/hyperlink" Target="https://www.moddb.com/mods/stalker-anomaly/addons/obrien-gamma-combat-and-recoil-rework" TargetMode="Externa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github.com/mike0brien/Obrien-s-GAMMA-Damage-and-Recoil-Rework" TargetMode="External"/><Relationship Id="rId1" Type="http://schemas.openxmlformats.org/officeDocument/2006/relationships/hyperlink" Target="https://www.moddb.com/mods/stalker-anomaly/addons/obrien-gamma-combat-and-recoil-rework" TargetMode="Externa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A497D-60AB-4CFB-8A59-E67D2B3D678D}">
  <dimension ref="A1:AV140"/>
  <sheetViews>
    <sheetView tabSelected="1" zoomScaleNormal="100" workbookViewId="0">
      <selection activeCell="Q30" sqref="Q30"/>
    </sheetView>
  </sheetViews>
  <sheetFormatPr defaultRowHeight="15" x14ac:dyDescent="0.25"/>
  <cols>
    <col min="1" max="1" width="25.7109375" customWidth="1"/>
    <col min="5" max="5" width="25.7109375" customWidth="1"/>
    <col min="6" max="6" width="11" customWidth="1"/>
    <col min="8" max="8" width="11.85546875" customWidth="1"/>
    <col min="9" max="9" width="11.140625" customWidth="1"/>
    <col min="10" max="10" width="11" customWidth="1"/>
    <col min="11" max="12" width="12.7109375" customWidth="1"/>
    <col min="13" max="13" width="11.7109375" customWidth="1"/>
    <col min="14" max="14" width="10.42578125" customWidth="1"/>
    <col min="15" max="15" width="12.7109375" customWidth="1"/>
    <col min="16" max="16" width="10.5703125" customWidth="1"/>
    <col min="21" max="21" width="18.28515625" customWidth="1"/>
    <col min="36" max="36" width="15.7109375" customWidth="1"/>
  </cols>
  <sheetData>
    <row r="1" spans="1:45" x14ac:dyDescent="0.25">
      <c r="A1" t="s">
        <v>0</v>
      </c>
      <c r="B1" t="s">
        <v>1</v>
      </c>
      <c r="C1" t="s">
        <v>2</v>
      </c>
      <c r="E1" t="s">
        <v>3</v>
      </c>
      <c r="F1" t="s">
        <v>4</v>
      </c>
      <c r="G1" t="s">
        <v>2</v>
      </c>
      <c r="H1" t="s">
        <v>5</v>
      </c>
      <c r="I1" t="s">
        <v>6</v>
      </c>
      <c r="J1" t="s">
        <v>7</v>
      </c>
      <c r="K1" t="s">
        <v>8</v>
      </c>
      <c r="L1" t="s">
        <v>9</v>
      </c>
      <c r="M1" t="s">
        <v>10</v>
      </c>
      <c r="N1" t="s">
        <v>11</v>
      </c>
      <c r="O1" t="s">
        <v>12</v>
      </c>
      <c r="P1" t="s">
        <v>13</v>
      </c>
      <c r="Q1" t="s">
        <v>14</v>
      </c>
    </row>
    <row r="2" spans="1:45" x14ac:dyDescent="0.25">
      <c r="A2" t="s">
        <v>15</v>
      </c>
      <c r="B2">
        <v>0.3</v>
      </c>
      <c r="C2">
        <v>0.09</v>
      </c>
      <c r="E2" t="s">
        <v>16</v>
      </c>
      <c r="F2" cm="1">
        <f t="array" ref="F2">_xlfn.XLOOKUP(E2, Table13[[#All],[Bullet]], Table13[[#All],[K_hit]], nil)</f>
        <v>0.1</v>
      </c>
      <c r="G2" cm="1">
        <f t="array" ref="G2">_xlfn.XLOOKUP(E2, Table13[[#All],[Bullet]], Table13[[#All],[K_Ap]], nil)</f>
        <v>0.05</v>
      </c>
      <c r="H2">
        <v>0.01</v>
      </c>
      <c r="I2" t="s">
        <v>17</v>
      </c>
      <c r="J2" cm="1">
        <f t="array" ref="J2">_xlfn.XLOOKUP(I2, Table15[[#All],[Plate]], Table15[[#All],[Plate_BR]])</f>
        <v>0</v>
      </c>
      <c r="K2" s="1">
        <f t="shared" ref="K2:K11" si="0">IF(N2="torso", H2+J2, H2)</f>
        <v>0.01</v>
      </c>
      <c r="L2" s="1">
        <f t="shared" ref="L2:L11" si="1">IF(G2/K2&gt;1, 1, G2/K2)</f>
        <v>1</v>
      </c>
      <c r="M2" s="2">
        <v>0</v>
      </c>
      <c r="N2" t="s">
        <v>18</v>
      </c>
      <c r="O2" s="3" cm="1">
        <f t="array" ref="O2">_xlfn.XLOOKUP(Table16[[#This Row],[Limb]], Table14[[#All],[Bdy_Part]], Table14[[#All],[Lmb_Mul]])</f>
        <v>1</v>
      </c>
      <c r="P2" s="1">
        <f t="shared" ref="P2:P11" si="2">SUM(((F2*L2)*(1-M2))*O2)</f>
        <v>0.1</v>
      </c>
      <c r="Q2" s="4">
        <f t="shared" ref="Q2:Q11" si="3">ROUNDUP(1/P2,0)</f>
        <v>10</v>
      </c>
      <c r="Y2" s="1"/>
      <c r="AB2" s="1"/>
      <c r="AC2" s="1"/>
      <c r="AD2" s="5"/>
      <c r="AP2" s="1"/>
      <c r="AQ2" s="1"/>
      <c r="AS2" s="5"/>
    </row>
    <row r="3" spans="1:45" x14ac:dyDescent="0.25">
      <c r="A3" t="s">
        <v>19</v>
      </c>
      <c r="B3">
        <v>0.3</v>
      </c>
      <c r="C3">
        <v>0.09</v>
      </c>
      <c r="E3" t="s">
        <v>16</v>
      </c>
      <c r="F3" cm="1">
        <f t="array" ref="F3">_xlfn.XLOOKUP(E3, Table13[[#All],[Bullet]], Table13[[#All],[K_hit]], nil)</f>
        <v>0.1</v>
      </c>
      <c r="G3" cm="1">
        <f t="array" ref="G3">_xlfn.XLOOKUP(E3, Table13[[#All],[Bullet]], Table13[[#All],[K_Ap]], nil)</f>
        <v>0.05</v>
      </c>
      <c r="H3">
        <v>0.1</v>
      </c>
      <c r="I3" t="s">
        <v>17</v>
      </c>
      <c r="J3" cm="1">
        <f t="array" ref="J3">_xlfn.XLOOKUP(I3, Table15[[#All],[Plate]], Table15[[#All],[Plate_BR]])</f>
        <v>0</v>
      </c>
      <c r="K3" s="1">
        <f t="shared" si="0"/>
        <v>0.1</v>
      </c>
      <c r="L3" s="1">
        <f t="shared" si="1"/>
        <v>0.5</v>
      </c>
      <c r="M3" s="2">
        <v>0</v>
      </c>
      <c r="N3" t="s">
        <v>18</v>
      </c>
      <c r="O3" s="3" cm="1">
        <f t="array" ref="O3">_xlfn.XLOOKUP(Table16[[#This Row],[Limb]], Table14[[#All],[Bdy_Part]], Table14[[#All],[Lmb_Mul]])</f>
        <v>1</v>
      </c>
      <c r="P3" s="1">
        <f t="shared" si="2"/>
        <v>0.05</v>
      </c>
      <c r="Q3" s="4">
        <f t="shared" si="3"/>
        <v>20</v>
      </c>
      <c r="Y3" s="1"/>
      <c r="AB3" s="1"/>
      <c r="AC3" s="1"/>
      <c r="AD3" s="5"/>
      <c r="AP3" s="1"/>
      <c r="AQ3" s="1"/>
      <c r="AS3" s="5"/>
    </row>
    <row r="4" spans="1:45" x14ac:dyDescent="0.25">
      <c r="A4" t="s">
        <v>20</v>
      </c>
      <c r="B4">
        <v>0.3</v>
      </c>
      <c r="C4">
        <v>0.09</v>
      </c>
      <c r="E4" t="s">
        <v>16</v>
      </c>
      <c r="F4" cm="1">
        <f t="array" ref="F4">_xlfn.XLOOKUP(E4, Table13[[#All],[Bullet]], Table13[[#All],[K_hit]], nil)</f>
        <v>0.1</v>
      </c>
      <c r="G4" cm="1">
        <f t="array" ref="G4">_xlfn.XLOOKUP(E4, Table13[[#All],[Bullet]], Table13[[#All],[K_Ap]], nil)</f>
        <v>0.05</v>
      </c>
      <c r="H4">
        <v>0.2</v>
      </c>
      <c r="I4" t="s">
        <v>17</v>
      </c>
      <c r="J4" cm="1">
        <f t="array" ref="J4">_xlfn.XLOOKUP(I4, Table15[[#All],[Plate]], Table15[[#All],[Plate_BR]])</f>
        <v>0</v>
      </c>
      <c r="K4" s="1">
        <f t="shared" si="0"/>
        <v>0.2</v>
      </c>
      <c r="L4" s="1">
        <f t="shared" si="1"/>
        <v>0.25</v>
      </c>
      <c r="M4" s="2">
        <v>0</v>
      </c>
      <c r="N4" t="s">
        <v>18</v>
      </c>
      <c r="O4" s="3" cm="1">
        <f t="array" ref="O4">_xlfn.XLOOKUP(Table16[[#This Row],[Limb]], Table14[[#All],[Bdy_Part]], Table14[[#All],[Lmb_Mul]])</f>
        <v>1</v>
      </c>
      <c r="P4" s="1">
        <f t="shared" si="2"/>
        <v>2.5000000000000001E-2</v>
      </c>
      <c r="Q4" s="4">
        <f t="shared" si="3"/>
        <v>40</v>
      </c>
      <c r="Y4" s="1"/>
      <c r="AB4" s="1"/>
      <c r="AC4" s="1"/>
      <c r="AD4" s="5"/>
      <c r="AP4" s="1"/>
      <c r="AQ4" s="1"/>
      <c r="AS4" s="5"/>
    </row>
    <row r="5" spans="1:45" x14ac:dyDescent="0.25">
      <c r="A5" t="s">
        <v>21</v>
      </c>
      <c r="B5">
        <v>0.36</v>
      </c>
      <c r="C5">
        <v>0.02</v>
      </c>
      <c r="E5" t="s">
        <v>16</v>
      </c>
      <c r="F5" cm="1">
        <f t="array" ref="F5">_xlfn.XLOOKUP(E5, Table13[[#All],[Bullet]], Table13[[#All],[K_hit]], nil)</f>
        <v>0.1</v>
      </c>
      <c r="G5" cm="1">
        <f t="array" ref="G5">_xlfn.XLOOKUP(E5, Table13[[#All],[Bullet]], Table13[[#All],[K_Ap]], nil)</f>
        <v>0.05</v>
      </c>
      <c r="H5">
        <v>0.3</v>
      </c>
      <c r="I5" t="s">
        <v>17</v>
      </c>
      <c r="J5" cm="1">
        <f t="array" ref="J5">_xlfn.XLOOKUP(I5, Table15[[#All],[Plate]], Table15[[#All],[Plate_BR]])</f>
        <v>0</v>
      </c>
      <c r="K5" s="1">
        <f t="shared" si="0"/>
        <v>0.3</v>
      </c>
      <c r="L5" s="1">
        <f t="shared" si="1"/>
        <v>0.16666666666666669</v>
      </c>
      <c r="M5" s="2">
        <v>0</v>
      </c>
      <c r="N5" t="s">
        <v>18</v>
      </c>
      <c r="O5" s="3" cm="1">
        <f t="array" ref="O5">_xlfn.XLOOKUP(Table16[[#This Row],[Limb]], Table14[[#All],[Bdy_Part]], Table14[[#All],[Lmb_Mul]])</f>
        <v>1</v>
      </c>
      <c r="P5" s="1">
        <f t="shared" si="2"/>
        <v>1.666666666666667E-2</v>
      </c>
      <c r="Q5" s="4">
        <f t="shared" si="3"/>
        <v>60</v>
      </c>
      <c r="Y5" s="1"/>
      <c r="AB5" s="1"/>
      <c r="AC5" s="1"/>
      <c r="AD5" s="5"/>
      <c r="AP5" s="1"/>
      <c r="AQ5" s="1"/>
      <c r="AS5" s="5"/>
    </row>
    <row r="6" spans="1:45" x14ac:dyDescent="0.25">
      <c r="A6" t="s">
        <v>22</v>
      </c>
      <c r="B6">
        <v>0.36</v>
      </c>
      <c r="C6">
        <v>0.02</v>
      </c>
      <c r="E6" t="s">
        <v>16</v>
      </c>
      <c r="F6" cm="1">
        <f t="array" ref="F6">_xlfn.XLOOKUP(E6, Table13[[#All],[Bullet]], Table13[[#All],[K_hit]], nil)</f>
        <v>0.1</v>
      </c>
      <c r="G6" cm="1">
        <f t="array" ref="G6">_xlfn.XLOOKUP(E6, Table13[[#All],[Bullet]], Table13[[#All],[K_Ap]], nil)</f>
        <v>0.05</v>
      </c>
      <c r="H6">
        <v>0.4</v>
      </c>
      <c r="I6" t="s">
        <v>17</v>
      </c>
      <c r="J6" cm="1">
        <f t="array" ref="J6">_xlfn.XLOOKUP(I6, Table15[[#All],[Plate]], Table15[[#All],[Plate_BR]])</f>
        <v>0</v>
      </c>
      <c r="K6" s="1">
        <f t="shared" si="0"/>
        <v>0.4</v>
      </c>
      <c r="L6" s="1">
        <f t="shared" si="1"/>
        <v>0.125</v>
      </c>
      <c r="M6" s="2">
        <v>0</v>
      </c>
      <c r="N6" t="s">
        <v>18</v>
      </c>
      <c r="O6" s="3" cm="1">
        <f t="array" ref="O6">_xlfn.XLOOKUP(Table16[[#This Row],[Limb]], Table14[[#All],[Bdy_Part]], Table14[[#All],[Lmb_Mul]])</f>
        <v>1</v>
      </c>
      <c r="P6" s="1">
        <f t="shared" si="2"/>
        <v>1.2500000000000001E-2</v>
      </c>
      <c r="Q6" s="4">
        <f t="shared" si="3"/>
        <v>80</v>
      </c>
      <c r="Y6" s="1"/>
      <c r="AB6" s="1"/>
      <c r="AC6" s="1"/>
      <c r="AD6" s="5"/>
      <c r="AP6" s="1"/>
      <c r="AQ6" s="1"/>
      <c r="AS6" s="5"/>
    </row>
    <row r="7" spans="1:45" x14ac:dyDescent="0.25">
      <c r="A7" t="s">
        <v>23</v>
      </c>
      <c r="B7">
        <v>0.36</v>
      </c>
      <c r="C7">
        <v>0.02</v>
      </c>
      <c r="E7" t="s">
        <v>16</v>
      </c>
      <c r="F7" cm="1">
        <f t="array" ref="F7">_xlfn.XLOOKUP(E7, Table13[[#All],[Bullet]], Table13[[#All],[K_hit]], nil)</f>
        <v>0.1</v>
      </c>
      <c r="G7" cm="1">
        <f t="array" ref="G7">_xlfn.XLOOKUP(E7, Table13[[#All],[Bullet]], Table13[[#All],[K_Ap]], nil)</f>
        <v>0.05</v>
      </c>
      <c r="H7">
        <v>0.5</v>
      </c>
      <c r="I7" t="s">
        <v>17</v>
      </c>
      <c r="J7" cm="1">
        <f t="array" ref="J7">_xlfn.XLOOKUP(I7, Table15[[#All],[Plate]], Table15[[#All],[Plate_BR]])</f>
        <v>0</v>
      </c>
      <c r="K7" s="1">
        <f t="shared" si="0"/>
        <v>0.5</v>
      </c>
      <c r="L7" s="1">
        <f t="shared" si="1"/>
        <v>0.1</v>
      </c>
      <c r="M7" s="2">
        <v>0</v>
      </c>
      <c r="N7" t="s">
        <v>18</v>
      </c>
      <c r="O7" s="3" cm="1">
        <f t="array" ref="O7">_xlfn.XLOOKUP(Table16[[#This Row],[Limb]], Table14[[#All],[Bdy_Part]], Table14[[#All],[Lmb_Mul]])</f>
        <v>1</v>
      </c>
      <c r="P7" s="1">
        <f t="shared" si="2"/>
        <v>1.0000000000000002E-2</v>
      </c>
      <c r="Q7" s="4">
        <f t="shared" si="3"/>
        <v>100</v>
      </c>
      <c r="Y7" s="1"/>
      <c r="AB7" s="1"/>
      <c r="AC7" s="1"/>
      <c r="AD7" s="5"/>
      <c r="AP7" s="1"/>
      <c r="AQ7" s="1"/>
      <c r="AS7" s="5"/>
    </row>
    <row r="8" spans="1:45" x14ac:dyDescent="0.25">
      <c r="A8" t="s">
        <v>24</v>
      </c>
      <c r="B8">
        <v>0.255</v>
      </c>
      <c r="C8">
        <v>0.13</v>
      </c>
      <c r="E8" t="s">
        <v>16</v>
      </c>
      <c r="F8" cm="1">
        <f t="array" ref="F8">_xlfn.XLOOKUP(E8, Table13[[#All],[Bullet]], Table13[[#All],[K_hit]], nil)</f>
        <v>0.1</v>
      </c>
      <c r="G8" cm="1">
        <f t="array" ref="G8">_xlfn.XLOOKUP(E8, Table13[[#All],[Bullet]], Table13[[#All],[K_Ap]], nil)</f>
        <v>0.05</v>
      </c>
      <c r="H8">
        <v>0.6</v>
      </c>
      <c r="I8" t="s">
        <v>17</v>
      </c>
      <c r="J8" cm="1">
        <f t="array" ref="J8">_xlfn.XLOOKUP(I8, Table15[[#All],[Plate]], Table15[[#All],[Plate_BR]])</f>
        <v>0</v>
      </c>
      <c r="K8" s="1">
        <f t="shared" si="0"/>
        <v>0.6</v>
      </c>
      <c r="L8" s="1">
        <f t="shared" si="1"/>
        <v>8.3333333333333343E-2</v>
      </c>
      <c r="M8" s="2">
        <v>0</v>
      </c>
      <c r="N8" t="s">
        <v>18</v>
      </c>
      <c r="O8" s="3" cm="1">
        <f t="array" ref="O8">_xlfn.XLOOKUP(Table16[[#This Row],[Limb]], Table14[[#All],[Bdy_Part]], Table14[[#All],[Lmb_Mul]])</f>
        <v>1</v>
      </c>
      <c r="P8" s="1">
        <f t="shared" si="2"/>
        <v>8.333333333333335E-3</v>
      </c>
      <c r="Q8" s="4">
        <f t="shared" si="3"/>
        <v>120</v>
      </c>
      <c r="Y8" s="1"/>
      <c r="AB8" s="1"/>
      <c r="AC8" s="1"/>
      <c r="AD8" s="5"/>
      <c r="AP8" s="1"/>
      <c r="AQ8" s="1"/>
      <c r="AS8" s="5"/>
    </row>
    <row r="9" spans="1:45" x14ac:dyDescent="0.25">
      <c r="A9" t="s">
        <v>25</v>
      </c>
      <c r="B9">
        <v>0.255</v>
      </c>
      <c r="C9">
        <v>0.13</v>
      </c>
      <c r="E9" t="s">
        <v>16</v>
      </c>
      <c r="F9" cm="1">
        <f t="array" ref="F9">_xlfn.XLOOKUP(E9, Table13[[#All],[Bullet]], Table13[[#All],[K_hit]], nil)</f>
        <v>0.1</v>
      </c>
      <c r="G9" cm="1">
        <f t="array" ref="G9">_xlfn.XLOOKUP(E9, Table13[[#All],[Bullet]], Table13[[#All],[K_Ap]], nil)</f>
        <v>0.05</v>
      </c>
      <c r="H9">
        <v>0.7</v>
      </c>
      <c r="I9" t="s">
        <v>17</v>
      </c>
      <c r="J9" cm="1">
        <f t="array" ref="J9">_xlfn.XLOOKUP(I9, Table15[[#All],[Plate]], Table15[[#All],[Plate_BR]])</f>
        <v>0</v>
      </c>
      <c r="K9" s="1">
        <f t="shared" si="0"/>
        <v>0.7</v>
      </c>
      <c r="L9" s="1">
        <f t="shared" si="1"/>
        <v>7.1428571428571438E-2</v>
      </c>
      <c r="M9" s="2">
        <v>0</v>
      </c>
      <c r="N9" t="s">
        <v>18</v>
      </c>
      <c r="O9" s="3" cm="1">
        <f t="array" ref="O9">_xlfn.XLOOKUP(Table16[[#This Row],[Limb]], Table14[[#All],[Bdy_Part]], Table14[[#All],[Lmb_Mul]])</f>
        <v>1</v>
      </c>
      <c r="P9" s="1">
        <f t="shared" si="2"/>
        <v>7.1428571428571444E-3</v>
      </c>
      <c r="Q9" s="4">
        <f t="shared" si="3"/>
        <v>140</v>
      </c>
      <c r="Y9" s="1"/>
      <c r="AB9" s="1"/>
      <c r="AC9" s="1"/>
      <c r="AD9" s="5"/>
      <c r="AP9" s="1"/>
      <c r="AQ9" s="1"/>
      <c r="AS9" s="5"/>
    </row>
    <row r="10" spans="1:45" x14ac:dyDescent="0.25">
      <c r="A10" t="s">
        <v>26</v>
      </c>
      <c r="B10">
        <v>0.255</v>
      </c>
      <c r="C10">
        <v>0.13</v>
      </c>
      <c r="E10" t="s">
        <v>16</v>
      </c>
      <c r="F10" cm="1">
        <f t="array" ref="F10">_xlfn.XLOOKUP(E10, Table13[[#All],[Bullet]], Table13[[#All],[K_hit]], nil)</f>
        <v>0.1</v>
      </c>
      <c r="G10" cm="1">
        <f t="array" ref="G10">_xlfn.XLOOKUP(E10, Table13[[#All],[Bullet]], Table13[[#All],[K_Ap]], nil)</f>
        <v>0.05</v>
      </c>
      <c r="H10">
        <v>0.8</v>
      </c>
      <c r="I10" t="s">
        <v>17</v>
      </c>
      <c r="J10" cm="1">
        <f t="array" ref="J10">_xlfn.XLOOKUP(I10, Table15[[#All],[Plate]], Table15[[#All],[Plate_BR]])</f>
        <v>0</v>
      </c>
      <c r="K10" s="1">
        <f t="shared" si="0"/>
        <v>0.8</v>
      </c>
      <c r="L10" s="1">
        <f t="shared" si="1"/>
        <v>6.25E-2</v>
      </c>
      <c r="M10" s="2">
        <v>0</v>
      </c>
      <c r="N10" t="s">
        <v>18</v>
      </c>
      <c r="O10" s="3" cm="1">
        <f t="array" ref="O10">_xlfn.XLOOKUP(Table16[[#This Row],[Limb]], Table14[[#All],[Bdy_Part]], Table14[[#All],[Lmb_Mul]])</f>
        <v>1</v>
      </c>
      <c r="P10" s="1">
        <f t="shared" si="2"/>
        <v>6.2500000000000003E-3</v>
      </c>
      <c r="Q10" s="4">
        <f t="shared" si="3"/>
        <v>160</v>
      </c>
      <c r="Y10" s="1"/>
      <c r="AB10" s="1"/>
      <c r="AC10" s="1"/>
      <c r="AD10" s="5"/>
      <c r="AP10" s="1"/>
      <c r="AQ10" s="1"/>
      <c r="AS10" s="5"/>
    </row>
    <row r="11" spans="1:45" x14ac:dyDescent="0.25">
      <c r="A11" t="s">
        <v>27</v>
      </c>
      <c r="B11">
        <v>0.36</v>
      </c>
      <c r="C11">
        <v>0.11</v>
      </c>
      <c r="E11" t="s">
        <v>16</v>
      </c>
      <c r="F11" cm="1">
        <f t="array" ref="F11">_xlfn.XLOOKUP(E11, Table13[[#All],[Bullet]], Table13[[#All],[K_hit]], nil)</f>
        <v>0.1</v>
      </c>
      <c r="G11" cm="1">
        <f t="array" ref="G11">_xlfn.XLOOKUP(E11, Table13[[#All],[Bullet]], Table13[[#All],[K_Ap]], nil)</f>
        <v>0.05</v>
      </c>
      <c r="H11">
        <v>0.9</v>
      </c>
      <c r="I11" t="s">
        <v>17</v>
      </c>
      <c r="J11" cm="1">
        <f t="array" ref="J11">_xlfn.XLOOKUP(I11, Table15[[#All],[Plate]], Table15[[#All],[Plate_BR]])</f>
        <v>0</v>
      </c>
      <c r="K11" s="1">
        <f t="shared" si="0"/>
        <v>0.9</v>
      </c>
      <c r="L11" s="1">
        <f t="shared" si="1"/>
        <v>5.5555555555555559E-2</v>
      </c>
      <c r="M11" s="2">
        <v>0</v>
      </c>
      <c r="N11" t="s">
        <v>18</v>
      </c>
      <c r="O11" s="3" cm="1">
        <f t="array" ref="O11">_xlfn.XLOOKUP(Table16[[#This Row],[Limb]], Table14[[#All],[Bdy_Part]], Table14[[#All],[Lmb_Mul]])</f>
        <v>1</v>
      </c>
      <c r="P11" s="1">
        <f t="shared" si="2"/>
        <v>5.5555555555555566E-3</v>
      </c>
      <c r="Q11" s="4">
        <f t="shared" si="3"/>
        <v>180</v>
      </c>
      <c r="Y11" s="1"/>
      <c r="AB11" s="1"/>
      <c r="AC11" s="1"/>
      <c r="AD11" s="5"/>
      <c r="AP11" s="1"/>
      <c r="AQ11" s="1"/>
      <c r="AS11" s="5"/>
    </row>
    <row r="12" spans="1:45" x14ac:dyDescent="0.25">
      <c r="A12" t="s">
        <v>28</v>
      </c>
      <c r="B12">
        <v>0.36</v>
      </c>
      <c r="C12">
        <v>0.11</v>
      </c>
    </row>
    <row r="13" spans="1:45" x14ac:dyDescent="0.25">
      <c r="A13" t="s">
        <v>29</v>
      </c>
      <c r="B13">
        <v>0.36</v>
      </c>
      <c r="C13">
        <v>0.11</v>
      </c>
      <c r="E13" t="s">
        <v>3</v>
      </c>
      <c r="F13" t="s">
        <v>4</v>
      </c>
      <c r="G13" t="s">
        <v>2</v>
      </c>
      <c r="H13" t="s">
        <v>5</v>
      </c>
      <c r="I13" t="s">
        <v>6</v>
      </c>
      <c r="J13" t="s">
        <v>7</v>
      </c>
      <c r="K13" t="s">
        <v>8</v>
      </c>
      <c r="L13" t="s">
        <v>9</v>
      </c>
      <c r="M13" t="s">
        <v>10</v>
      </c>
      <c r="N13" t="s">
        <v>11</v>
      </c>
      <c r="O13" t="s">
        <v>12</v>
      </c>
      <c r="P13" t="s">
        <v>13</v>
      </c>
      <c r="Q13" t="s">
        <v>14</v>
      </c>
    </row>
    <row r="14" spans="1:45" x14ac:dyDescent="0.25">
      <c r="A14" t="s">
        <v>30</v>
      </c>
      <c r="B14">
        <v>0.432</v>
      </c>
      <c r="C14">
        <v>0.05</v>
      </c>
      <c r="E14" t="s">
        <v>31</v>
      </c>
      <c r="F14" cm="1">
        <f t="array" ref="F14">_xlfn.XLOOKUP(E14, Table13[[#All],[Bullet]], Table13[[#All],[K_hit]], nil)</f>
        <v>0.1875</v>
      </c>
      <c r="G14" cm="1">
        <f t="array" ref="G14">_xlfn.XLOOKUP(E14, Table13[[#All],[Bullet]], Table13[[#All],[K_Ap]], nil)</f>
        <v>0.05</v>
      </c>
      <c r="H14">
        <v>1E-3</v>
      </c>
      <c r="I14" t="s">
        <v>17</v>
      </c>
      <c r="J14" cm="1">
        <f t="array" ref="J14">_xlfn.XLOOKUP(I14, Table15[[#All],[Plate]], Table15[[#All],[Plate_BR]])</f>
        <v>0</v>
      </c>
      <c r="K14" s="1">
        <f t="shared" ref="K14:K23" si="4">IF(N14="torso", H14+J14, H14)</f>
        <v>1E-3</v>
      </c>
      <c r="L14" s="1">
        <f t="shared" ref="L14:L23" si="5">IF(G14/K14&gt;1, 1, G14/K14)</f>
        <v>1</v>
      </c>
      <c r="M14" s="2">
        <v>0</v>
      </c>
      <c r="N14" t="s">
        <v>18</v>
      </c>
      <c r="O14" s="1" cm="1">
        <f t="array" ref="O14">_xlfn.XLOOKUP(Table1617[[#This Row],[Limb]], Table14[[#All],[Bdy_Part]], Table14[[#All],[Lmb_Mul]])</f>
        <v>1</v>
      </c>
      <c r="P14" s="1">
        <f t="shared" ref="P14:P23" si="6">SUM(((F14*L14)*(1-M14))*O14)</f>
        <v>0.1875</v>
      </c>
      <c r="Q14" s="4">
        <f t="shared" ref="Q14:Q23" si="7">ROUNDUP(1/P14,0)</f>
        <v>6</v>
      </c>
      <c r="AA14" s="1"/>
      <c r="AB14" s="1"/>
      <c r="AD14" s="5"/>
      <c r="AP14" s="1"/>
      <c r="AQ14" s="1"/>
      <c r="AS14" s="5"/>
    </row>
    <row r="15" spans="1:45" x14ac:dyDescent="0.25">
      <c r="A15" t="s">
        <v>32</v>
      </c>
      <c r="B15">
        <v>0.432</v>
      </c>
      <c r="C15">
        <v>0.05</v>
      </c>
      <c r="E15" t="s">
        <v>31</v>
      </c>
      <c r="F15" cm="1">
        <f t="array" ref="F15">_xlfn.XLOOKUP(E15, Table13[[#All],[Bullet]], Table13[[#All],[K_hit]], nil)</f>
        <v>0.1875</v>
      </c>
      <c r="G15" cm="1">
        <f t="array" ref="G15">_xlfn.XLOOKUP(E15, Table13[[#All],[Bullet]], Table13[[#All],[K_Ap]], nil)</f>
        <v>0.05</v>
      </c>
      <c r="H15">
        <v>0.1</v>
      </c>
      <c r="I15" t="s">
        <v>17</v>
      </c>
      <c r="J15" cm="1">
        <f t="array" ref="J15">_xlfn.XLOOKUP(I15, Table15[[#All],[Plate]], Table15[[#All],[Plate_BR]])</f>
        <v>0</v>
      </c>
      <c r="K15" s="1">
        <f t="shared" si="4"/>
        <v>0.1</v>
      </c>
      <c r="L15" s="1">
        <f t="shared" si="5"/>
        <v>0.5</v>
      </c>
      <c r="M15" s="2">
        <v>0</v>
      </c>
      <c r="N15" t="s">
        <v>18</v>
      </c>
      <c r="O15" s="1" cm="1">
        <f t="array" ref="O15">_xlfn.XLOOKUP(Table1617[[#This Row],[Limb]], Table14[[#All],[Bdy_Part]], Table14[[#All],[Lmb_Mul]])</f>
        <v>1</v>
      </c>
      <c r="P15" s="1">
        <f t="shared" si="6"/>
        <v>9.375E-2</v>
      </c>
      <c r="Q15" s="4">
        <f t="shared" si="7"/>
        <v>11</v>
      </c>
      <c r="AA15" s="1"/>
      <c r="AB15" s="1"/>
      <c r="AD15" s="5"/>
      <c r="AP15" s="1"/>
      <c r="AQ15" s="1"/>
      <c r="AS15" s="5"/>
    </row>
    <row r="16" spans="1:45" x14ac:dyDescent="0.25">
      <c r="A16" t="s">
        <v>33</v>
      </c>
      <c r="B16">
        <v>0.432</v>
      </c>
      <c r="C16">
        <v>0.05</v>
      </c>
      <c r="E16" t="s">
        <v>31</v>
      </c>
      <c r="F16" cm="1">
        <f t="array" ref="F16">_xlfn.XLOOKUP(E16, Table13[[#All],[Bullet]], Table13[[#All],[K_hit]], nil)</f>
        <v>0.1875</v>
      </c>
      <c r="G16" cm="1">
        <f t="array" ref="G16">_xlfn.XLOOKUP(E16, Table13[[#All],[Bullet]], Table13[[#All],[K_Ap]], nil)</f>
        <v>0.05</v>
      </c>
      <c r="H16">
        <v>0.2</v>
      </c>
      <c r="I16" t="s">
        <v>17</v>
      </c>
      <c r="J16" cm="1">
        <f t="array" ref="J16">_xlfn.XLOOKUP(I16, Table15[[#All],[Plate]], Table15[[#All],[Plate_BR]])</f>
        <v>0</v>
      </c>
      <c r="K16" s="1">
        <f t="shared" si="4"/>
        <v>0.2</v>
      </c>
      <c r="L16" s="1">
        <f t="shared" si="5"/>
        <v>0.25</v>
      </c>
      <c r="M16" s="2">
        <v>0</v>
      </c>
      <c r="N16" t="s">
        <v>18</v>
      </c>
      <c r="O16" s="1" cm="1">
        <f t="array" ref="O16">_xlfn.XLOOKUP(Table1617[[#This Row],[Limb]], Table14[[#All],[Bdy_Part]], Table14[[#All],[Lmb_Mul]])</f>
        <v>1</v>
      </c>
      <c r="P16" s="1">
        <f t="shared" si="6"/>
        <v>4.6875E-2</v>
      </c>
      <c r="Q16" s="4">
        <f t="shared" si="7"/>
        <v>22</v>
      </c>
      <c r="AA16" s="1"/>
      <c r="AB16" s="1"/>
      <c r="AD16" s="5"/>
      <c r="AP16" s="1"/>
      <c r="AQ16" s="1"/>
      <c r="AS16" s="5"/>
    </row>
    <row r="17" spans="1:48" x14ac:dyDescent="0.25">
      <c r="A17" t="s">
        <v>34</v>
      </c>
      <c r="B17">
        <v>0.28799999999999998</v>
      </c>
      <c r="C17">
        <v>0.16</v>
      </c>
      <c r="E17" t="s">
        <v>31</v>
      </c>
      <c r="F17" cm="1">
        <f t="array" ref="F17">_xlfn.XLOOKUP(E17, Table13[[#All],[Bullet]], Table13[[#All],[K_hit]], nil)</f>
        <v>0.1875</v>
      </c>
      <c r="G17" cm="1">
        <f t="array" ref="G17">_xlfn.XLOOKUP(E17, Table13[[#All],[Bullet]], Table13[[#All],[K_Ap]], nil)</f>
        <v>0.05</v>
      </c>
      <c r="H17">
        <v>0.3</v>
      </c>
      <c r="I17" t="s">
        <v>17</v>
      </c>
      <c r="J17" cm="1">
        <f t="array" ref="J17">_xlfn.XLOOKUP(I17, Table15[[#All],[Plate]], Table15[[#All],[Plate_BR]])</f>
        <v>0</v>
      </c>
      <c r="K17" s="1">
        <f t="shared" si="4"/>
        <v>0.3</v>
      </c>
      <c r="L17" s="1">
        <f t="shared" si="5"/>
        <v>0.16666666666666669</v>
      </c>
      <c r="M17" s="2">
        <v>0</v>
      </c>
      <c r="N17" t="s">
        <v>18</v>
      </c>
      <c r="O17" s="1" cm="1">
        <f t="array" ref="O17">_xlfn.XLOOKUP(Table1617[[#This Row],[Limb]], Table14[[#All],[Bdy_Part]], Table14[[#All],[Lmb_Mul]])</f>
        <v>1</v>
      </c>
      <c r="P17" s="1">
        <f t="shared" si="6"/>
        <v>3.125E-2</v>
      </c>
      <c r="Q17" s="4">
        <f t="shared" si="7"/>
        <v>32</v>
      </c>
      <c r="AA17" s="1"/>
      <c r="AB17" s="1"/>
      <c r="AD17" s="5"/>
      <c r="AP17" s="1"/>
      <c r="AQ17" s="1"/>
      <c r="AS17" s="5"/>
    </row>
    <row r="18" spans="1:48" x14ac:dyDescent="0.25">
      <c r="A18" t="s">
        <v>35</v>
      </c>
      <c r="B18">
        <v>0.28799999999999998</v>
      </c>
      <c r="C18">
        <v>0.16</v>
      </c>
      <c r="E18" t="s">
        <v>31</v>
      </c>
      <c r="F18" cm="1">
        <f t="array" ref="F18">_xlfn.XLOOKUP(E18, Table13[[#All],[Bullet]], Table13[[#All],[K_hit]], nil)</f>
        <v>0.1875</v>
      </c>
      <c r="G18" cm="1">
        <f t="array" ref="G18">_xlfn.XLOOKUP(E18, Table13[[#All],[Bullet]], Table13[[#All],[K_Ap]], nil)</f>
        <v>0.05</v>
      </c>
      <c r="H18">
        <v>0.4</v>
      </c>
      <c r="I18" t="s">
        <v>17</v>
      </c>
      <c r="J18" cm="1">
        <f t="array" ref="J18">_xlfn.XLOOKUP(I18, Table15[[#All],[Plate]], Table15[[#All],[Plate_BR]])</f>
        <v>0</v>
      </c>
      <c r="K18" s="1">
        <f t="shared" si="4"/>
        <v>0.4</v>
      </c>
      <c r="L18" s="1">
        <f t="shared" si="5"/>
        <v>0.125</v>
      </c>
      <c r="M18" s="2">
        <v>0</v>
      </c>
      <c r="N18" t="s">
        <v>18</v>
      </c>
      <c r="O18" s="1" cm="1">
        <f t="array" ref="O18">_xlfn.XLOOKUP(Table1617[[#This Row],[Limb]], Table14[[#All],[Bdy_Part]], Table14[[#All],[Lmb_Mul]])</f>
        <v>1</v>
      </c>
      <c r="P18" s="1">
        <f t="shared" si="6"/>
        <v>2.34375E-2</v>
      </c>
      <c r="Q18" s="4">
        <f t="shared" si="7"/>
        <v>43</v>
      </c>
      <c r="AA18" s="1"/>
      <c r="AB18" s="1"/>
      <c r="AD18" s="5"/>
      <c r="AP18" s="1"/>
      <c r="AQ18" s="1"/>
      <c r="AS18" s="5"/>
    </row>
    <row r="19" spans="1:48" x14ac:dyDescent="0.25">
      <c r="A19" t="s">
        <v>36</v>
      </c>
      <c r="B19">
        <v>0.28799999999999998</v>
      </c>
      <c r="C19">
        <v>0.16</v>
      </c>
      <c r="E19" t="s">
        <v>31</v>
      </c>
      <c r="F19" cm="1">
        <f t="array" ref="F19">_xlfn.XLOOKUP(E19, Table13[[#All],[Bullet]], Table13[[#All],[K_hit]], nil)</f>
        <v>0.1875</v>
      </c>
      <c r="G19" cm="1">
        <f t="array" ref="G19">_xlfn.XLOOKUP(E19, Table13[[#All],[Bullet]], Table13[[#All],[K_Ap]], nil)</f>
        <v>0.05</v>
      </c>
      <c r="H19">
        <v>0.5</v>
      </c>
      <c r="I19" t="s">
        <v>17</v>
      </c>
      <c r="J19" cm="1">
        <f t="array" ref="J19">_xlfn.XLOOKUP(I19, Table15[[#All],[Plate]], Table15[[#All],[Plate_BR]])</f>
        <v>0</v>
      </c>
      <c r="K19" s="1">
        <f t="shared" si="4"/>
        <v>0.5</v>
      </c>
      <c r="L19" s="1">
        <f t="shared" si="5"/>
        <v>0.1</v>
      </c>
      <c r="M19" s="2">
        <v>0</v>
      </c>
      <c r="N19" t="s">
        <v>18</v>
      </c>
      <c r="O19" s="1" cm="1">
        <f t="array" ref="O19">_xlfn.XLOOKUP(Table1617[[#This Row],[Limb]], Table14[[#All],[Bdy_Part]], Table14[[#All],[Lmb_Mul]])</f>
        <v>1</v>
      </c>
      <c r="P19" s="1">
        <f t="shared" si="6"/>
        <v>1.8750000000000003E-2</v>
      </c>
      <c r="Q19" s="4">
        <f t="shared" si="7"/>
        <v>54</v>
      </c>
      <c r="AA19" s="1"/>
      <c r="AB19" s="1"/>
      <c r="AD19" s="5"/>
      <c r="AP19" s="1"/>
      <c r="AQ19" s="1"/>
      <c r="AS19" s="5"/>
    </row>
    <row r="20" spans="1:48" x14ac:dyDescent="0.25">
      <c r="A20" t="s">
        <v>37</v>
      </c>
      <c r="B20">
        <v>0.28000000000000003</v>
      </c>
      <c r="C20">
        <v>0.18</v>
      </c>
      <c r="E20" t="s">
        <v>31</v>
      </c>
      <c r="F20" cm="1">
        <f t="array" ref="F20">_xlfn.XLOOKUP(E20, Table13[[#All],[Bullet]], Table13[[#All],[K_hit]], nil)</f>
        <v>0.1875</v>
      </c>
      <c r="G20" cm="1">
        <f t="array" ref="G20">_xlfn.XLOOKUP(E20, Table13[[#All],[Bullet]], Table13[[#All],[K_Ap]], nil)</f>
        <v>0.05</v>
      </c>
      <c r="H20">
        <v>0.65</v>
      </c>
      <c r="I20" t="s">
        <v>17</v>
      </c>
      <c r="J20" cm="1">
        <f t="array" ref="J20">_xlfn.XLOOKUP(I20, Table15[[#All],[Plate]], Table15[[#All],[Plate_BR]])</f>
        <v>0</v>
      </c>
      <c r="K20" s="1">
        <f t="shared" si="4"/>
        <v>0.65</v>
      </c>
      <c r="L20" s="1">
        <f t="shared" si="5"/>
        <v>7.6923076923076927E-2</v>
      </c>
      <c r="M20" s="2">
        <v>0</v>
      </c>
      <c r="N20" t="s">
        <v>18</v>
      </c>
      <c r="O20" s="1" cm="1">
        <f t="array" ref="O20">_xlfn.XLOOKUP(Table1617[[#This Row],[Limb]], Table14[[#All],[Bdy_Part]], Table14[[#All],[Lmb_Mul]])</f>
        <v>1</v>
      </c>
      <c r="P20" s="1">
        <f t="shared" si="6"/>
        <v>1.4423076923076924E-2</v>
      </c>
      <c r="Q20" s="4">
        <f t="shared" si="7"/>
        <v>70</v>
      </c>
      <c r="AA20" s="1"/>
      <c r="AB20" s="1"/>
      <c r="AD20" s="5"/>
      <c r="AP20" s="1"/>
      <c r="AQ20" s="1"/>
      <c r="AS20" s="5"/>
    </row>
    <row r="21" spans="1:48" x14ac:dyDescent="0.25">
      <c r="A21" t="s">
        <v>38</v>
      </c>
      <c r="B21">
        <v>0.28000000000000003</v>
      </c>
      <c r="C21">
        <v>0.18</v>
      </c>
      <c r="E21" t="s">
        <v>31</v>
      </c>
      <c r="F21" cm="1">
        <f t="array" ref="F21">_xlfn.XLOOKUP(E21, Table13[[#All],[Bullet]], Table13[[#All],[K_hit]], nil)</f>
        <v>0.1875</v>
      </c>
      <c r="G21" cm="1">
        <f t="array" ref="G21">_xlfn.XLOOKUP(E21, Table13[[#All],[Bullet]], Table13[[#All],[K_Ap]], nil)</f>
        <v>0.05</v>
      </c>
      <c r="H21">
        <v>0.7</v>
      </c>
      <c r="I21" t="s">
        <v>17</v>
      </c>
      <c r="J21" cm="1">
        <f t="array" ref="J21">_xlfn.XLOOKUP(I21, Table15[[#All],[Plate]], Table15[[#All],[Plate_BR]])</f>
        <v>0</v>
      </c>
      <c r="K21" s="1">
        <f t="shared" si="4"/>
        <v>0.7</v>
      </c>
      <c r="L21" s="1">
        <f t="shared" si="5"/>
        <v>7.1428571428571438E-2</v>
      </c>
      <c r="M21" s="2">
        <v>0</v>
      </c>
      <c r="N21" t="s">
        <v>18</v>
      </c>
      <c r="O21" s="1" cm="1">
        <f t="array" ref="O21">_xlfn.XLOOKUP(Table1617[[#This Row],[Limb]], Table14[[#All],[Bdy_Part]], Table14[[#All],[Lmb_Mul]])</f>
        <v>1</v>
      </c>
      <c r="P21" s="1">
        <f t="shared" si="6"/>
        <v>1.3392857142857144E-2</v>
      </c>
      <c r="Q21" s="4">
        <f t="shared" si="7"/>
        <v>75</v>
      </c>
      <c r="AA21" s="1"/>
      <c r="AB21" s="1"/>
      <c r="AD21" s="5"/>
      <c r="AP21" s="1"/>
      <c r="AQ21" s="1"/>
      <c r="AS21" s="5"/>
    </row>
    <row r="22" spans="1:48" x14ac:dyDescent="0.25">
      <c r="A22" t="s">
        <v>39</v>
      </c>
      <c r="B22">
        <v>0.28000000000000003</v>
      </c>
      <c r="C22">
        <v>0.18</v>
      </c>
      <c r="E22" t="s">
        <v>31</v>
      </c>
      <c r="F22" cm="1">
        <f t="array" ref="F22">_xlfn.XLOOKUP(E22, Table13[[#All],[Bullet]], Table13[[#All],[K_hit]], nil)</f>
        <v>0.1875</v>
      </c>
      <c r="G22" cm="1">
        <f t="array" ref="G22">_xlfn.XLOOKUP(E22, Table13[[#All],[Bullet]], Table13[[#All],[K_Ap]], nil)</f>
        <v>0.05</v>
      </c>
      <c r="H22">
        <v>0.8</v>
      </c>
      <c r="I22" t="s">
        <v>17</v>
      </c>
      <c r="J22" cm="1">
        <f t="array" ref="J22">_xlfn.XLOOKUP(I22, Table15[[#All],[Plate]], Table15[[#All],[Plate_BR]])</f>
        <v>0</v>
      </c>
      <c r="K22" s="1">
        <f t="shared" si="4"/>
        <v>0.8</v>
      </c>
      <c r="L22" s="1">
        <f t="shared" si="5"/>
        <v>6.25E-2</v>
      </c>
      <c r="M22" s="2">
        <v>0</v>
      </c>
      <c r="N22" t="s">
        <v>18</v>
      </c>
      <c r="O22" s="1" cm="1">
        <f t="array" ref="O22">_xlfn.XLOOKUP(Table1617[[#This Row],[Limb]], Table14[[#All],[Bdy_Part]], Table14[[#All],[Lmb_Mul]])</f>
        <v>1</v>
      </c>
      <c r="P22" s="1">
        <f t="shared" si="6"/>
        <v>1.171875E-2</v>
      </c>
      <c r="Q22" s="4">
        <f t="shared" si="7"/>
        <v>86</v>
      </c>
      <c r="AA22" s="1"/>
      <c r="AB22" s="1"/>
      <c r="AD22" s="5"/>
      <c r="AP22" s="1"/>
      <c r="AQ22" s="1"/>
      <c r="AS22" s="5"/>
    </row>
    <row r="23" spans="1:48" x14ac:dyDescent="0.25">
      <c r="A23" t="s">
        <v>40</v>
      </c>
      <c r="B23">
        <v>0.224</v>
      </c>
      <c r="C23">
        <v>0.26</v>
      </c>
      <c r="E23" t="s">
        <v>31</v>
      </c>
      <c r="F23" cm="1">
        <f t="array" ref="F23">_xlfn.XLOOKUP(E23, Table13[[#All],[Bullet]], Table13[[#All],[K_hit]], nil)</f>
        <v>0.1875</v>
      </c>
      <c r="G23" cm="1">
        <f t="array" ref="G23">_xlfn.XLOOKUP(E23, Table13[[#All],[Bullet]], Table13[[#All],[K_Ap]], nil)</f>
        <v>0.05</v>
      </c>
      <c r="H23">
        <v>0.9</v>
      </c>
      <c r="I23" t="s">
        <v>17</v>
      </c>
      <c r="J23" cm="1">
        <f t="array" ref="J23">_xlfn.XLOOKUP(I23, Table15[[#All],[Plate]], Table15[[#All],[Plate_BR]])</f>
        <v>0</v>
      </c>
      <c r="K23" s="1">
        <f t="shared" si="4"/>
        <v>0.9</v>
      </c>
      <c r="L23" s="1">
        <f t="shared" si="5"/>
        <v>5.5555555555555559E-2</v>
      </c>
      <c r="M23" s="2">
        <v>0</v>
      </c>
      <c r="N23" t="s">
        <v>18</v>
      </c>
      <c r="O23" s="1" cm="1">
        <f t="array" ref="O23">_xlfn.XLOOKUP(Table1617[[#This Row],[Limb]], Table14[[#All],[Bdy_Part]], Table14[[#All],[Lmb_Mul]])</f>
        <v>1</v>
      </c>
      <c r="P23" s="1">
        <f t="shared" si="6"/>
        <v>1.0416666666666668E-2</v>
      </c>
      <c r="Q23" s="4">
        <f t="shared" si="7"/>
        <v>96</v>
      </c>
      <c r="AA23" s="1"/>
      <c r="AB23" s="1"/>
      <c r="AD23" s="5"/>
      <c r="AP23" s="1"/>
      <c r="AQ23" s="1"/>
      <c r="AS23" s="5"/>
    </row>
    <row r="24" spans="1:48" x14ac:dyDescent="0.25">
      <c r="A24" t="s">
        <v>41</v>
      </c>
      <c r="B24">
        <v>0.224</v>
      </c>
      <c r="C24">
        <v>0.26</v>
      </c>
    </row>
    <row r="25" spans="1:48" x14ac:dyDescent="0.25">
      <c r="A25" t="s">
        <v>42</v>
      </c>
      <c r="B25">
        <v>0.224</v>
      </c>
      <c r="C25">
        <v>0.26</v>
      </c>
    </row>
    <row r="26" spans="1:48" x14ac:dyDescent="0.25">
      <c r="A26" t="s">
        <v>43</v>
      </c>
      <c r="B26">
        <v>0.37</v>
      </c>
      <c r="C26">
        <v>0.08</v>
      </c>
      <c r="E26" t="s">
        <v>6</v>
      </c>
      <c r="F26" t="s">
        <v>7</v>
      </c>
      <c r="H26" t="s">
        <v>44</v>
      </c>
      <c r="I26" t="s">
        <v>45</v>
      </c>
      <c r="O26" s="1"/>
      <c r="P26" s="1"/>
      <c r="R26" s="5"/>
      <c r="AD26" s="1"/>
      <c r="AE26" s="1"/>
      <c r="AG26" s="5"/>
      <c r="AS26" s="1"/>
      <c r="AT26" s="1"/>
      <c r="AV26" s="5"/>
    </row>
    <row r="27" spans="1:48" x14ac:dyDescent="0.25">
      <c r="A27" t="s">
        <v>46</v>
      </c>
      <c r="B27">
        <v>0.37</v>
      </c>
      <c r="C27">
        <v>0.08</v>
      </c>
      <c r="E27" t="s">
        <v>17</v>
      </c>
      <c r="F27">
        <v>0</v>
      </c>
      <c r="H27" t="s">
        <v>47</v>
      </c>
      <c r="I27">
        <v>3</v>
      </c>
      <c r="O27" s="1"/>
      <c r="P27" s="1"/>
      <c r="R27" s="5"/>
      <c r="AD27" s="1"/>
      <c r="AE27" s="1"/>
      <c r="AG27" s="5"/>
      <c r="AS27" s="1"/>
      <c r="AT27" s="1"/>
      <c r="AV27" s="5"/>
    </row>
    <row r="28" spans="1:48" x14ac:dyDescent="0.25">
      <c r="A28" t="s">
        <v>48</v>
      </c>
      <c r="B28">
        <v>0.37</v>
      </c>
      <c r="C28">
        <v>0.08</v>
      </c>
      <c r="E28" t="s">
        <v>49</v>
      </c>
      <c r="F28">
        <v>0.04</v>
      </c>
      <c r="H28" t="s">
        <v>18</v>
      </c>
      <c r="I28">
        <v>1</v>
      </c>
      <c r="O28" s="1"/>
      <c r="P28" s="1"/>
      <c r="R28" s="5"/>
      <c r="AD28" s="1"/>
      <c r="AE28" s="1"/>
      <c r="AG28" s="5"/>
      <c r="AS28" s="1"/>
      <c r="AT28" s="1"/>
      <c r="AV28" s="5"/>
    </row>
    <row r="29" spans="1:48" x14ac:dyDescent="0.25">
      <c r="A29" t="s">
        <v>50</v>
      </c>
      <c r="B29">
        <v>0.25900000000000001</v>
      </c>
      <c r="C29">
        <v>0.19</v>
      </c>
      <c r="E29" t="s">
        <v>51</v>
      </c>
      <c r="F29">
        <v>0.06</v>
      </c>
      <c r="H29" t="s">
        <v>52</v>
      </c>
      <c r="I29">
        <v>0.7</v>
      </c>
      <c r="O29" s="1"/>
      <c r="P29" s="1"/>
      <c r="R29" s="5"/>
      <c r="AD29" s="1"/>
      <c r="AE29" s="1"/>
      <c r="AG29" s="5"/>
      <c r="AS29" s="1"/>
      <c r="AT29" s="1"/>
      <c r="AV29" s="5"/>
    </row>
    <row r="30" spans="1:48" x14ac:dyDescent="0.25">
      <c r="A30" t="s">
        <v>53</v>
      </c>
      <c r="B30">
        <v>0.25900000000000001</v>
      </c>
      <c r="C30">
        <v>0.19</v>
      </c>
      <c r="E30" t="s">
        <v>54</v>
      </c>
      <c r="F30">
        <v>0.08</v>
      </c>
      <c r="O30" s="1"/>
      <c r="P30" s="1"/>
      <c r="R30" s="5"/>
      <c r="AD30" s="1"/>
      <c r="AE30" s="1"/>
      <c r="AG30" s="5"/>
      <c r="AS30" s="1"/>
      <c r="AT30" s="1"/>
      <c r="AV30" s="5"/>
    </row>
    <row r="31" spans="1:48" x14ac:dyDescent="0.25">
      <c r="A31" t="s">
        <v>55</v>
      </c>
      <c r="B31">
        <v>0.25900000000000001</v>
      </c>
      <c r="C31">
        <v>0.19</v>
      </c>
      <c r="E31" t="s">
        <v>56</v>
      </c>
      <c r="F31">
        <v>0.1</v>
      </c>
      <c r="O31" s="1"/>
      <c r="P31" s="1"/>
      <c r="R31" s="5"/>
      <c r="AD31" s="1"/>
      <c r="AE31" s="1"/>
      <c r="AG31" s="5"/>
      <c r="AS31" s="1"/>
      <c r="AT31" s="1"/>
      <c r="AV31" s="5"/>
    </row>
    <row r="32" spans="1:48" ht="15.75" thickBot="1" x14ac:dyDescent="0.3">
      <c r="A32" t="s">
        <v>57</v>
      </c>
      <c r="B32">
        <v>0.45</v>
      </c>
      <c r="C32">
        <v>0.08</v>
      </c>
      <c r="AD32" s="1"/>
      <c r="AE32" s="1"/>
      <c r="AG32" s="5"/>
      <c r="AS32" s="1"/>
      <c r="AT32" s="1"/>
      <c r="AV32" s="5"/>
    </row>
    <row r="33" spans="1:48" ht="15.75" thickBot="1" x14ac:dyDescent="0.3">
      <c r="A33" t="s">
        <v>58</v>
      </c>
      <c r="B33">
        <v>0.45</v>
      </c>
      <c r="C33">
        <v>0.08</v>
      </c>
      <c r="E33" s="6" t="s">
        <v>59</v>
      </c>
      <c r="F33" s="7"/>
      <c r="G33" s="7"/>
      <c r="H33" s="7"/>
      <c r="I33" s="7"/>
      <c r="J33" s="7"/>
      <c r="K33" s="7"/>
      <c r="L33" s="7"/>
      <c r="M33" s="7"/>
      <c r="N33" s="7"/>
      <c r="O33" s="7"/>
      <c r="P33" s="7"/>
      <c r="Q33" s="8"/>
      <c r="AD33" s="1"/>
      <c r="AE33" s="1"/>
      <c r="AG33" s="5"/>
      <c r="AS33" s="1"/>
      <c r="AT33" s="1"/>
      <c r="AV33" s="5"/>
    </row>
    <row r="34" spans="1:48" x14ac:dyDescent="0.25">
      <c r="A34" t="s">
        <v>60</v>
      </c>
      <c r="B34">
        <v>0.45</v>
      </c>
      <c r="C34">
        <v>0.08</v>
      </c>
      <c r="E34" s="9" t="s">
        <v>61</v>
      </c>
      <c r="F34" s="10"/>
      <c r="G34" s="10"/>
      <c r="H34" s="10"/>
      <c r="I34" s="10"/>
      <c r="J34" s="10"/>
      <c r="K34" s="10"/>
      <c r="L34" s="10"/>
      <c r="M34" s="10"/>
      <c r="N34" s="10"/>
      <c r="O34" s="10"/>
      <c r="P34" s="10"/>
      <c r="Q34" s="11"/>
      <c r="AD34" s="1"/>
      <c r="AE34" s="1"/>
      <c r="AG34" s="5"/>
      <c r="AS34" s="1"/>
      <c r="AT34" s="1"/>
      <c r="AV34" s="5"/>
    </row>
    <row r="35" spans="1:48" x14ac:dyDescent="0.25">
      <c r="A35" t="s">
        <v>62</v>
      </c>
      <c r="B35">
        <v>0.58499999999999996</v>
      </c>
      <c r="C35">
        <v>0.04</v>
      </c>
      <c r="E35" s="12"/>
      <c r="F35" s="13"/>
      <c r="G35" s="13"/>
      <c r="H35" s="13"/>
      <c r="I35" s="13"/>
      <c r="J35" s="13"/>
      <c r="K35" s="13"/>
      <c r="L35" s="13"/>
      <c r="M35" s="13"/>
      <c r="N35" s="13"/>
      <c r="O35" s="13"/>
      <c r="P35" s="13"/>
      <c r="Q35" s="14"/>
      <c r="AD35" s="1"/>
      <c r="AE35" s="1"/>
      <c r="AG35" s="5"/>
      <c r="AS35" s="1"/>
      <c r="AT35" s="1"/>
      <c r="AV35" s="5"/>
    </row>
    <row r="36" spans="1:48" x14ac:dyDescent="0.25">
      <c r="A36" t="s">
        <v>63</v>
      </c>
      <c r="B36">
        <v>0.58499999999999996</v>
      </c>
      <c r="C36">
        <v>0.04</v>
      </c>
      <c r="E36" s="12"/>
      <c r="F36" s="13"/>
      <c r="G36" s="13"/>
      <c r="H36" s="13"/>
      <c r="I36" s="13"/>
      <c r="J36" s="13"/>
      <c r="K36" s="13"/>
      <c r="L36" s="13"/>
      <c r="M36" s="13"/>
      <c r="N36" s="13"/>
      <c r="O36" s="13"/>
      <c r="P36" s="13"/>
      <c r="Q36" s="14"/>
    </row>
    <row r="37" spans="1:48" x14ac:dyDescent="0.25">
      <c r="A37" t="s">
        <v>64</v>
      </c>
      <c r="B37">
        <v>0.58499999999999996</v>
      </c>
      <c r="C37">
        <v>0.04</v>
      </c>
      <c r="E37" s="12"/>
      <c r="F37" s="13"/>
      <c r="G37" s="13"/>
      <c r="H37" s="13"/>
      <c r="I37" s="13"/>
      <c r="J37" s="13"/>
      <c r="K37" s="13"/>
      <c r="L37" s="13"/>
      <c r="M37" s="13"/>
      <c r="N37" s="13"/>
      <c r="O37" s="13"/>
      <c r="P37" s="13"/>
      <c r="Q37" s="14"/>
    </row>
    <row r="38" spans="1:48" x14ac:dyDescent="0.25">
      <c r="A38" t="s">
        <v>65</v>
      </c>
      <c r="B38">
        <v>0.28000000000000003</v>
      </c>
      <c r="C38">
        <v>0.24</v>
      </c>
      <c r="E38" s="12"/>
      <c r="F38" s="13"/>
      <c r="G38" s="13"/>
      <c r="H38" s="13"/>
      <c r="I38" s="13"/>
      <c r="J38" s="13"/>
      <c r="K38" s="13"/>
      <c r="L38" s="13"/>
      <c r="M38" s="13"/>
      <c r="N38" s="13"/>
      <c r="O38" s="13"/>
      <c r="P38" s="13"/>
      <c r="Q38" s="14"/>
      <c r="AD38" s="1"/>
      <c r="AE38" s="1"/>
      <c r="AG38" s="5"/>
      <c r="AS38" s="1"/>
      <c r="AT38" s="1"/>
      <c r="AV38" s="5"/>
    </row>
    <row r="39" spans="1:48" x14ac:dyDescent="0.25">
      <c r="A39" t="s">
        <v>66</v>
      </c>
      <c r="B39">
        <v>0.28000000000000003</v>
      </c>
      <c r="C39">
        <v>0.28000000000000003</v>
      </c>
      <c r="E39" s="12"/>
      <c r="F39" s="13"/>
      <c r="G39" s="13"/>
      <c r="H39" s="13"/>
      <c r="I39" s="13"/>
      <c r="J39" s="13"/>
      <c r="K39" s="13"/>
      <c r="L39" s="13"/>
      <c r="M39" s="13"/>
      <c r="N39" s="13"/>
      <c r="O39" s="13"/>
      <c r="P39" s="13"/>
      <c r="Q39" s="14"/>
      <c r="AD39" s="1"/>
      <c r="AE39" s="1"/>
      <c r="AG39" s="5"/>
      <c r="AS39" s="1"/>
      <c r="AT39" s="1"/>
      <c r="AV39" s="5"/>
    </row>
    <row r="40" spans="1:48" x14ac:dyDescent="0.25">
      <c r="A40" t="s">
        <v>67</v>
      </c>
      <c r="B40">
        <v>0.28000000000000003</v>
      </c>
      <c r="C40">
        <v>0.24</v>
      </c>
      <c r="E40" s="12"/>
      <c r="F40" s="13"/>
      <c r="G40" s="13"/>
      <c r="H40" s="13"/>
      <c r="I40" s="13"/>
      <c r="J40" s="13"/>
      <c r="K40" s="13"/>
      <c r="L40" s="13"/>
      <c r="M40" s="13"/>
      <c r="N40" s="13"/>
      <c r="O40" s="13"/>
      <c r="P40" s="13"/>
      <c r="Q40" s="14"/>
      <c r="AD40" s="1"/>
      <c r="AE40" s="1"/>
      <c r="AG40" s="5"/>
      <c r="AS40" s="1"/>
      <c r="AT40" s="1"/>
      <c r="AV40" s="5"/>
    </row>
    <row r="41" spans="1:48" x14ac:dyDescent="0.25">
      <c r="A41" t="s">
        <v>68</v>
      </c>
      <c r="B41">
        <v>0.34</v>
      </c>
      <c r="C41">
        <v>0.11</v>
      </c>
      <c r="E41" s="12"/>
      <c r="F41" s="13"/>
      <c r="G41" s="13"/>
      <c r="H41" s="13"/>
      <c r="I41" s="13"/>
      <c r="J41" s="13"/>
      <c r="K41" s="13"/>
      <c r="L41" s="13"/>
      <c r="M41" s="13"/>
      <c r="N41" s="13"/>
      <c r="O41" s="13"/>
      <c r="P41" s="13"/>
      <c r="Q41" s="14"/>
      <c r="AD41" s="1"/>
      <c r="AE41" s="1"/>
      <c r="AG41" s="5"/>
      <c r="AS41" s="1"/>
      <c r="AT41" s="1"/>
      <c r="AV41" s="5"/>
    </row>
    <row r="42" spans="1:48" x14ac:dyDescent="0.25">
      <c r="A42" t="s">
        <v>69</v>
      </c>
      <c r="B42">
        <v>0.34</v>
      </c>
      <c r="C42">
        <v>0.11</v>
      </c>
      <c r="E42" s="12"/>
      <c r="F42" s="13"/>
      <c r="G42" s="13"/>
      <c r="H42" s="13"/>
      <c r="I42" s="13"/>
      <c r="J42" s="13"/>
      <c r="K42" s="13"/>
      <c r="L42" s="13"/>
      <c r="M42" s="13"/>
      <c r="N42" s="13"/>
      <c r="O42" s="13"/>
      <c r="P42" s="13"/>
      <c r="Q42" s="14"/>
      <c r="AD42" s="1"/>
      <c r="AE42" s="1"/>
      <c r="AG42" s="5"/>
      <c r="AS42" s="1"/>
      <c r="AT42" s="1"/>
      <c r="AV42" s="5"/>
    </row>
    <row r="43" spans="1:48" x14ac:dyDescent="0.25">
      <c r="A43" t="s">
        <v>70</v>
      </c>
      <c r="B43">
        <v>0.34</v>
      </c>
      <c r="C43">
        <v>0.11</v>
      </c>
      <c r="E43" s="12"/>
      <c r="F43" s="13"/>
      <c r="G43" s="13"/>
      <c r="H43" s="13"/>
      <c r="I43" s="13"/>
      <c r="J43" s="13"/>
      <c r="K43" s="13"/>
      <c r="L43" s="13"/>
      <c r="M43" s="13"/>
      <c r="N43" s="13"/>
      <c r="O43" s="13"/>
      <c r="P43" s="13"/>
      <c r="Q43" s="14"/>
      <c r="AD43" s="1"/>
      <c r="AE43" s="1"/>
      <c r="AG43" s="5"/>
      <c r="AS43" s="1"/>
      <c r="AT43" s="1"/>
      <c r="AV43" s="5"/>
    </row>
    <row r="44" spans="1:48" x14ac:dyDescent="0.25">
      <c r="A44" t="s">
        <v>71</v>
      </c>
      <c r="B44">
        <v>0.224</v>
      </c>
      <c r="C44">
        <v>0.34</v>
      </c>
      <c r="E44" s="12"/>
      <c r="F44" s="13"/>
      <c r="G44" s="13"/>
      <c r="H44" s="13"/>
      <c r="I44" s="13"/>
      <c r="J44" s="13"/>
      <c r="K44" s="13"/>
      <c r="L44" s="13"/>
      <c r="M44" s="13"/>
      <c r="N44" s="13"/>
      <c r="O44" s="13"/>
      <c r="P44" s="13"/>
      <c r="Q44" s="14"/>
      <c r="AD44" s="1"/>
      <c r="AE44" s="1"/>
      <c r="AG44" s="5"/>
      <c r="AS44" s="1"/>
      <c r="AT44" s="1"/>
      <c r="AV44" s="5"/>
    </row>
    <row r="45" spans="1:48" x14ac:dyDescent="0.25">
      <c r="A45" t="s">
        <v>72</v>
      </c>
      <c r="B45">
        <v>0.23400000000000001</v>
      </c>
      <c r="C45">
        <v>0.38</v>
      </c>
      <c r="E45" s="12"/>
      <c r="F45" s="13"/>
      <c r="G45" s="13"/>
      <c r="H45" s="13"/>
      <c r="I45" s="13"/>
      <c r="J45" s="13"/>
      <c r="K45" s="13"/>
      <c r="L45" s="13"/>
      <c r="M45" s="13"/>
      <c r="N45" s="13"/>
      <c r="O45" s="13"/>
      <c r="P45" s="13"/>
      <c r="Q45" s="14"/>
      <c r="AD45" s="1"/>
      <c r="AE45" s="1"/>
      <c r="AG45" s="5"/>
      <c r="AS45" s="1"/>
      <c r="AT45" s="1"/>
      <c r="AV45" s="5"/>
    </row>
    <row r="46" spans="1:48" x14ac:dyDescent="0.25">
      <c r="A46" t="s">
        <v>73</v>
      </c>
      <c r="B46">
        <v>0.224</v>
      </c>
      <c r="C46">
        <v>0.34</v>
      </c>
      <c r="E46" s="12"/>
      <c r="F46" s="13"/>
      <c r="G46" s="13"/>
      <c r="H46" s="13"/>
      <c r="I46" s="13"/>
      <c r="J46" s="13"/>
      <c r="K46" s="13"/>
      <c r="L46" s="13"/>
      <c r="M46" s="13"/>
      <c r="N46" s="13"/>
      <c r="O46" s="13"/>
      <c r="P46" s="13"/>
      <c r="Q46" s="14"/>
      <c r="AD46" s="1"/>
      <c r="AE46" s="1"/>
      <c r="AG46" s="5"/>
      <c r="AS46" s="1"/>
      <c r="AT46" s="1"/>
      <c r="AV46" s="5"/>
    </row>
    <row r="47" spans="1:48" x14ac:dyDescent="0.25">
      <c r="A47" t="s">
        <v>74</v>
      </c>
      <c r="B47">
        <v>0.3</v>
      </c>
      <c r="C47">
        <v>0.2</v>
      </c>
      <c r="E47" s="12"/>
      <c r="F47" s="13"/>
      <c r="G47" s="13"/>
      <c r="H47" s="13"/>
      <c r="I47" s="13"/>
      <c r="J47" s="13"/>
      <c r="K47" s="13"/>
      <c r="L47" s="13"/>
      <c r="M47" s="13"/>
      <c r="N47" s="13"/>
      <c r="O47" s="13"/>
      <c r="P47" s="13"/>
      <c r="Q47" s="14"/>
      <c r="AD47" s="1"/>
      <c r="AE47" s="1"/>
      <c r="AG47" s="5"/>
      <c r="AS47" s="1"/>
      <c r="AT47" s="1"/>
      <c r="AV47" s="5"/>
    </row>
    <row r="48" spans="1:48" x14ac:dyDescent="0.25">
      <c r="A48" t="s">
        <v>75</v>
      </c>
      <c r="B48">
        <v>0.31</v>
      </c>
      <c r="C48">
        <v>0.25</v>
      </c>
      <c r="E48" s="12"/>
      <c r="F48" s="13"/>
      <c r="G48" s="13"/>
      <c r="H48" s="13"/>
      <c r="I48" s="13"/>
      <c r="J48" s="13"/>
      <c r="K48" s="13"/>
      <c r="L48" s="13"/>
      <c r="M48" s="13"/>
      <c r="N48" s="13"/>
      <c r="O48" s="13"/>
      <c r="P48" s="13"/>
      <c r="Q48" s="14"/>
    </row>
    <row r="49" spans="1:17" x14ac:dyDescent="0.25">
      <c r="A49" t="s">
        <v>76</v>
      </c>
      <c r="B49">
        <v>0.3</v>
      </c>
      <c r="C49">
        <v>0.2</v>
      </c>
      <c r="E49" s="12"/>
      <c r="F49" s="13"/>
      <c r="G49" s="13"/>
      <c r="H49" s="13"/>
      <c r="I49" s="13"/>
      <c r="J49" s="13"/>
      <c r="K49" s="13"/>
      <c r="L49" s="13"/>
      <c r="M49" s="13"/>
      <c r="N49" s="13"/>
      <c r="O49" s="13"/>
      <c r="P49" s="13"/>
      <c r="Q49" s="14"/>
    </row>
    <row r="50" spans="1:17" x14ac:dyDescent="0.25">
      <c r="A50" t="s">
        <v>77</v>
      </c>
      <c r="B50">
        <v>0.36</v>
      </c>
      <c r="C50">
        <v>0.1</v>
      </c>
      <c r="E50" s="12"/>
      <c r="F50" s="13"/>
      <c r="G50" s="13"/>
      <c r="H50" s="13"/>
      <c r="I50" s="13"/>
      <c r="J50" s="13"/>
      <c r="K50" s="13"/>
      <c r="L50" s="13"/>
      <c r="M50" s="13"/>
      <c r="N50" s="13"/>
      <c r="O50" s="13"/>
      <c r="P50" s="13"/>
      <c r="Q50" s="14"/>
    </row>
    <row r="51" spans="1:17" x14ac:dyDescent="0.25">
      <c r="A51" t="s">
        <v>78</v>
      </c>
      <c r="B51">
        <v>0.36</v>
      </c>
      <c r="C51">
        <v>0.1</v>
      </c>
      <c r="E51" s="12"/>
      <c r="F51" s="13"/>
      <c r="G51" s="13"/>
      <c r="H51" s="13"/>
      <c r="I51" s="13"/>
      <c r="J51" s="13"/>
      <c r="K51" s="13"/>
      <c r="L51" s="13"/>
      <c r="M51" s="13"/>
      <c r="N51" s="13"/>
      <c r="O51" s="13"/>
      <c r="P51" s="13"/>
      <c r="Q51" s="14"/>
    </row>
    <row r="52" spans="1:17" x14ac:dyDescent="0.25">
      <c r="A52" t="s">
        <v>79</v>
      </c>
      <c r="B52">
        <v>0.36</v>
      </c>
      <c r="C52">
        <v>0.1</v>
      </c>
      <c r="E52" s="12"/>
      <c r="F52" s="13"/>
      <c r="G52" s="13"/>
      <c r="H52" s="13"/>
      <c r="I52" s="13"/>
      <c r="J52" s="13"/>
      <c r="K52" s="13"/>
      <c r="L52" s="13"/>
      <c r="M52" s="13"/>
      <c r="N52" s="13"/>
      <c r="O52" s="13"/>
      <c r="P52" s="13"/>
      <c r="Q52" s="14"/>
    </row>
    <row r="53" spans="1:17" ht="15.75" thickBot="1" x14ac:dyDescent="0.3">
      <c r="A53" t="s">
        <v>80</v>
      </c>
      <c r="B53">
        <v>0.24</v>
      </c>
      <c r="C53">
        <v>0.3</v>
      </c>
      <c r="E53" s="15"/>
      <c r="F53" s="16"/>
      <c r="G53" s="16"/>
      <c r="H53" s="16"/>
      <c r="I53" s="16"/>
      <c r="J53" s="16"/>
      <c r="K53" s="16"/>
      <c r="L53" s="16"/>
      <c r="M53" s="16"/>
      <c r="N53" s="16"/>
      <c r="O53" s="16"/>
      <c r="P53" s="16"/>
      <c r="Q53" s="17"/>
    </row>
    <row r="54" spans="1:17" x14ac:dyDescent="0.25">
      <c r="A54" t="s">
        <v>81</v>
      </c>
      <c r="B54">
        <v>0.26400000000000001</v>
      </c>
      <c r="C54">
        <v>0.35</v>
      </c>
      <c r="E54" s="18" t="s">
        <v>82</v>
      </c>
    </row>
    <row r="55" spans="1:17" x14ac:dyDescent="0.25">
      <c r="A55" t="s">
        <v>83</v>
      </c>
      <c r="B55">
        <v>0.24</v>
      </c>
      <c r="C55">
        <v>0.3</v>
      </c>
      <c r="E55" s="18" t="s">
        <v>84</v>
      </c>
    </row>
    <row r="56" spans="1:17" x14ac:dyDescent="0.25">
      <c r="A56" t="s">
        <v>85</v>
      </c>
      <c r="B56">
        <v>0.36</v>
      </c>
      <c r="C56">
        <v>0.26</v>
      </c>
    </row>
    <row r="57" spans="1:17" x14ac:dyDescent="0.25">
      <c r="A57" t="s">
        <v>86</v>
      </c>
      <c r="B57">
        <v>0.36</v>
      </c>
      <c r="C57">
        <v>0.26</v>
      </c>
    </row>
    <row r="58" spans="1:17" x14ac:dyDescent="0.25">
      <c r="A58" t="s">
        <v>87</v>
      </c>
      <c r="B58">
        <v>0.36</v>
      </c>
      <c r="C58">
        <v>0.26</v>
      </c>
    </row>
    <row r="59" spans="1:17" x14ac:dyDescent="0.25">
      <c r="A59" t="s">
        <v>88</v>
      </c>
      <c r="B59">
        <v>0.28799999999999998</v>
      </c>
      <c r="C59">
        <v>0.42</v>
      </c>
    </row>
    <row r="60" spans="1:17" x14ac:dyDescent="0.25">
      <c r="A60" t="s">
        <v>89</v>
      </c>
      <c r="B60">
        <v>0.28799999999999998</v>
      </c>
      <c r="C60">
        <v>0.42</v>
      </c>
    </row>
    <row r="61" spans="1:17" x14ac:dyDescent="0.25">
      <c r="A61" t="s">
        <v>90</v>
      </c>
      <c r="B61">
        <v>0.28799999999999998</v>
      </c>
      <c r="C61">
        <v>0.42</v>
      </c>
    </row>
    <row r="62" spans="1:17" x14ac:dyDescent="0.25">
      <c r="A62" t="s">
        <v>16</v>
      </c>
      <c r="B62">
        <v>0.1</v>
      </c>
      <c r="C62">
        <v>0.05</v>
      </c>
    </row>
    <row r="63" spans="1:17" x14ac:dyDescent="0.25">
      <c r="A63" t="s">
        <v>91</v>
      </c>
      <c r="B63">
        <v>0.1</v>
      </c>
      <c r="C63">
        <v>0.05</v>
      </c>
    </row>
    <row r="64" spans="1:17" x14ac:dyDescent="0.25">
      <c r="A64" t="s">
        <v>92</v>
      </c>
      <c r="B64">
        <v>0.1</v>
      </c>
      <c r="C64">
        <v>0.05</v>
      </c>
    </row>
    <row r="65" spans="1:20" x14ac:dyDescent="0.25">
      <c r="A65" t="s">
        <v>93</v>
      </c>
      <c r="B65">
        <v>0.6</v>
      </c>
      <c r="C65">
        <v>0.21</v>
      </c>
    </row>
    <row r="66" spans="1:20" x14ac:dyDescent="0.25">
      <c r="A66" t="s">
        <v>94</v>
      </c>
      <c r="B66">
        <v>0.6</v>
      </c>
      <c r="C66">
        <v>0.21</v>
      </c>
    </row>
    <row r="67" spans="1:20" x14ac:dyDescent="0.25">
      <c r="A67" t="s">
        <v>95</v>
      </c>
      <c r="B67">
        <v>0.6</v>
      </c>
      <c r="C67">
        <v>0.21</v>
      </c>
    </row>
    <row r="68" spans="1:20" x14ac:dyDescent="0.25">
      <c r="A68" t="s">
        <v>96</v>
      </c>
      <c r="B68">
        <v>0.3</v>
      </c>
      <c r="C68">
        <v>0.03</v>
      </c>
      <c r="N68" s="19"/>
      <c r="O68" s="19"/>
      <c r="P68" s="19"/>
      <c r="Q68" s="19"/>
      <c r="R68" s="19"/>
      <c r="S68" s="19"/>
      <c r="T68" s="19"/>
    </row>
    <row r="69" spans="1:20" x14ac:dyDescent="0.25">
      <c r="A69" t="s">
        <v>97</v>
      </c>
      <c r="B69">
        <v>0.45</v>
      </c>
      <c r="C69">
        <v>0.4</v>
      </c>
    </row>
    <row r="70" spans="1:20" x14ac:dyDescent="0.25">
      <c r="A70" t="s">
        <v>98</v>
      </c>
      <c r="B70">
        <v>0.48</v>
      </c>
      <c r="C70">
        <v>0.41</v>
      </c>
    </row>
    <row r="71" spans="1:20" x14ac:dyDescent="0.25">
      <c r="A71" t="s">
        <v>99</v>
      </c>
      <c r="B71">
        <v>0.48</v>
      </c>
      <c r="C71">
        <v>0.41</v>
      </c>
      <c r="N71" s="19"/>
      <c r="O71" s="19"/>
      <c r="P71" s="19"/>
      <c r="Q71" s="19"/>
      <c r="R71" s="19"/>
      <c r="S71" s="19"/>
      <c r="T71" s="19"/>
    </row>
    <row r="72" spans="1:20" x14ac:dyDescent="0.25">
      <c r="A72" t="s">
        <v>100</v>
      </c>
      <c r="B72">
        <v>0.48</v>
      </c>
      <c r="C72">
        <v>0.41</v>
      </c>
    </row>
    <row r="73" spans="1:20" x14ac:dyDescent="0.25">
      <c r="A73" t="s">
        <v>101</v>
      </c>
      <c r="B73">
        <v>0.4</v>
      </c>
      <c r="C73">
        <v>0.2</v>
      </c>
    </row>
    <row r="74" spans="1:20" x14ac:dyDescent="0.25">
      <c r="A74" t="s">
        <v>102</v>
      </c>
      <c r="B74">
        <v>0.33</v>
      </c>
      <c r="C74">
        <v>0.25</v>
      </c>
      <c r="N74" s="19"/>
      <c r="O74" s="19"/>
      <c r="P74" s="19"/>
      <c r="Q74" s="19"/>
      <c r="R74" s="19"/>
      <c r="S74" s="19"/>
      <c r="T74" s="19"/>
    </row>
    <row r="75" spans="1:20" x14ac:dyDescent="0.25">
      <c r="A75" t="s">
        <v>103</v>
      </c>
      <c r="B75">
        <v>0.33</v>
      </c>
      <c r="C75">
        <v>0.25</v>
      </c>
    </row>
    <row r="76" spans="1:20" x14ac:dyDescent="0.25">
      <c r="A76" t="s">
        <v>104</v>
      </c>
      <c r="B76">
        <v>0.33</v>
      </c>
      <c r="C76">
        <v>0.25</v>
      </c>
    </row>
    <row r="77" spans="1:20" x14ac:dyDescent="0.25">
      <c r="A77" t="s">
        <v>105</v>
      </c>
      <c r="B77">
        <v>0.26400000000000001</v>
      </c>
      <c r="C77">
        <v>0.35</v>
      </c>
      <c r="N77" s="19"/>
      <c r="O77" s="19"/>
      <c r="P77" s="19"/>
      <c r="Q77" s="19"/>
      <c r="R77" s="19"/>
      <c r="S77" s="19"/>
      <c r="T77" s="19"/>
    </row>
    <row r="78" spans="1:20" x14ac:dyDescent="0.25">
      <c r="A78" t="s">
        <v>106</v>
      </c>
      <c r="B78">
        <v>0.29699999999999999</v>
      </c>
      <c r="C78">
        <v>0.3</v>
      </c>
    </row>
    <row r="79" spans="1:20" x14ac:dyDescent="0.25">
      <c r="A79" t="s">
        <v>107</v>
      </c>
      <c r="B79">
        <v>0.26400000000000001</v>
      </c>
      <c r="C79">
        <v>0.35</v>
      </c>
    </row>
    <row r="80" spans="1:20" x14ac:dyDescent="0.25">
      <c r="A80" t="s">
        <v>108</v>
      </c>
      <c r="B80">
        <v>0.38</v>
      </c>
      <c r="C80">
        <v>0.27</v>
      </c>
      <c r="N80" s="19"/>
      <c r="O80" s="19"/>
      <c r="P80" s="19"/>
      <c r="Q80" s="19"/>
      <c r="R80" s="19"/>
      <c r="S80" s="19"/>
      <c r="T80" s="19"/>
    </row>
    <row r="81" spans="1:20" x14ac:dyDescent="0.25">
      <c r="A81" t="s">
        <v>109</v>
      </c>
      <c r="B81">
        <v>0.38</v>
      </c>
      <c r="C81">
        <v>0.27</v>
      </c>
    </row>
    <row r="82" spans="1:20" x14ac:dyDescent="0.25">
      <c r="A82" t="s">
        <v>110</v>
      </c>
      <c r="B82">
        <v>0.38</v>
      </c>
      <c r="C82">
        <v>0.27</v>
      </c>
    </row>
    <row r="83" spans="1:20" x14ac:dyDescent="0.25">
      <c r="A83" t="s">
        <v>111</v>
      </c>
      <c r="B83">
        <v>0.30399999999999999</v>
      </c>
      <c r="C83">
        <v>0.39</v>
      </c>
      <c r="N83" s="19"/>
      <c r="O83" s="19"/>
      <c r="P83" s="19"/>
      <c r="Q83" s="19"/>
      <c r="R83" s="19"/>
      <c r="S83" s="19"/>
      <c r="T83" s="19"/>
    </row>
    <row r="84" spans="1:20" x14ac:dyDescent="0.25">
      <c r="A84" t="s">
        <v>112</v>
      </c>
      <c r="B84">
        <v>0.30399999999999999</v>
      </c>
      <c r="C84">
        <v>0.39</v>
      </c>
    </row>
    <row r="85" spans="1:20" x14ac:dyDescent="0.25">
      <c r="A85" t="s">
        <v>113</v>
      </c>
      <c r="B85">
        <v>0.30399999999999999</v>
      </c>
      <c r="C85">
        <v>0.39</v>
      </c>
    </row>
    <row r="86" spans="1:20" x14ac:dyDescent="0.25">
      <c r="A86" t="s">
        <v>114</v>
      </c>
      <c r="B86">
        <v>0.4</v>
      </c>
      <c r="C86">
        <v>0.3</v>
      </c>
      <c r="N86" s="19"/>
      <c r="O86" s="19"/>
      <c r="P86" s="19"/>
      <c r="Q86" s="19"/>
      <c r="R86" s="19"/>
      <c r="S86" s="19"/>
      <c r="T86" s="19"/>
    </row>
    <row r="87" spans="1:20" x14ac:dyDescent="0.25">
      <c r="A87" t="s">
        <v>115</v>
      </c>
      <c r="B87">
        <v>0.4</v>
      </c>
      <c r="C87">
        <v>0.3</v>
      </c>
    </row>
    <row r="88" spans="1:20" x14ac:dyDescent="0.25">
      <c r="A88" t="s">
        <v>116</v>
      </c>
      <c r="B88">
        <v>0.4</v>
      </c>
      <c r="C88">
        <v>0.3</v>
      </c>
    </row>
    <row r="89" spans="1:20" x14ac:dyDescent="0.25">
      <c r="A89" t="s">
        <v>117</v>
      </c>
      <c r="B89">
        <v>0.34</v>
      </c>
      <c r="C89">
        <v>0.45</v>
      </c>
      <c r="N89" s="19"/>
      <c r="O89" s="19"/>
      <c r="P89" s="19"/>
      <c r="Q89" s="19"/>
      <c r="R89" s="19"/>
      <c r="S89" s="19"/>
      <c r="T89" s="19"/>
    </row>
    <row r="90" spans="1:20" x14ac:dyDescent="0.25">
      <c r="A90" t="s">
        <v>118</v>
      </c>
      <c r="B90">
        <v>0.32</v>
      </c>
      <c r="C90">
        <v>0.45</v>
      </c>
    </row>
    <row r="91" spans="1:20" x14ac:dyDescent="0.25">
      <c r="A91" t="s">
        <v>119</v>
      </c>
      <c r="B91">
        <v>0.36</v>
      </c>
      <c r="C91">
        <v>0.4</v>
      </c>
    </row>
    <row r="92" spans="1:20" x14ac:dyDescent="0.25">
      <c r="A92" t="s">
        <v>120</v>
      </c>
      <c r="B92">
        <v>0.41</v>
      </c>
      <c r="C92">
        <v>0.28000000000000003</v>
      </c>
      <c r="N92" s="19"/>
      <c r="O92" s="19"/>
      <c r="P92" s="19"/>
      <c r="Q92" s="19"/>
      <c r="R92" s="19"/>
      <c r="S92" s="19"/>
      <c r="T92" s="19"/>
    </row>
    <row r="93" spans="1:20" x14ac:dyDescent="0.25">
      <c r="A93" t="s">
        <v>121</v>
      </c>
      <c r="B93">
        <v>0.41</v>
      </c>
      <c r="C93">
        <v>0.28000000000000003</v>
      </c>
    </row>
    <row r="94" spans="1:20" x14ac:dyDescent="0.25">
      <c r="A94" t="s">
        <v>122</v>
      </c>
      <c r="B94">
        <v>0.41</v>
      </c>
      <c r="C94">
        <v>0.28000000000000003</v>
      </c>
    </row>
    <row r="95" spans="1:20" x14ac:dyDescent="0.25">
      <c r="A95" t="s">
        <v>123</v>
      </c>
      <c r="B95">
        <v>0.43</v>
      </c>
      <c r="C95">
        <v>0.32</v>
      </c>
      <c r="N95" s="19"/>
      <c r="O95" s="19"/>
      <c r="P95" s="19"/>
      <c r="Q95" s="19"/>
      <c r="R95" s="19"/>
      <c r="S95" s="19"/>
      <c r="T95" s="19"/>
    </row>
    <row r="96" spans="1:20" x14ac:dyDescent="0.25">
      <c r="A96" t="s">
        <v>124</v>
      </c>
      <c r="B96">
        <v>0.43</v>
      </c>
      <c r="C96">
        <v>0.32</v>
      </c>
    </row>
    <row r="97" spans="1:20" x14ac:dyDescent="0.25">
      <c r="A97" t="s">
        <v>125</v>
      </c>
      <c r="B97">
        <v>0.43</v>
      </c>
      <c r="C97">
        <v>0.32</v>
      </c>
    </row>
    <row r="98" spans="1:20" x14ac:dyDescent="0.25">
      <c r="A98" t="s">
        <v>126</v>
      </c>
      <c r="B98">
        <v>0.34399999999999997</v>
      </c>
      <c r="C98">
        <v>0.48</v>
      </c>
      <c r="N98" s="19"/>
      <c r="O98" s="19"/>
      <c r="P98" s="19"/>
      <c r="Q98" s="19"/>
      <c r="R98" s="19"/>
      <c r="S98" s="19"/>
      <c r="T98" s="19"/>
    </row>
    <row r="99" spans="1:20" x14ac:dyDescent="0.25">
      <c r="A99" t="s">
        <v>127</v>
      </c>
      <c r="B99">
        <v>0.34399999999999997</v>
      </c>
      <c r="C99">
        <v>0.48</v>
      </c>
    </row>
    <row r="100" spans="1:20" x14ac:dyDescent="0.25">
      <c r="A100" t="s">
        <v>128</v>
      </c>
      <c r="B100">
        <v>0.34399999999999997</v>
      </c>
      <c r="C100">
        <v>0.48</v>
      </c>
    </row>
    <row r="101" spans="1:20" x14ac:dyDescent="0.25">
      <c r="A101" t="s">
        <v>129</v>
      </c>
      <c r="B101">
        <v>0.26</v>
      </c>
      <c r="C101">
        <v>0.19</v>
      </c>
      <c r="N101" s="19"/>
      <c r="O101" s="19"/>
      <c r="P101" s="19"/>
      <c r="Q101" s="19"/>
      <c r="R101" s="19"/>
      <c r="S101" s="19"/>
      <c r="T101" s="19"/>
    </row>
    <row r="102" spans="1:20" x14ac:dyDescent="0.25">
      <c r="A102" t="s">
        <v>130</v>
      </c>
      <c r="B102">
        <v>0.26</v>
      </c>
      <c r="C102">
        <v>0.19</v>
      </c>
    </row>
    <row r="103" spans="1:20" x14ac:dyDescent="0.25">
      <c r="A103" t="s">
        <v>131</v>
      </c>
      <c r="B103">
        <v>0.26</v>
      </c>
      <c r="C103">
        <v>0.19</v>
      </c>
    </row>
    <row r="104" spans="1:20" x14ac:dyDescent="0.25">
      <c r="A104" t="s">
        <v>132</v>
      </c>
      <c r="B104">
        <v>0.38700000000000001</v>
      </c>
      <c r="C104">
        <v>0.38</v>
      </c>
      <c r="N104" s="19"/>
      <c r="O104" s="19"/>
      <c r="P104" s="19"/>
      <c r="Q104" s="19"/>
      <c r="R104" s="19"/>
      <c r="S104" s="19"/>
      <c r="T104" s="19"/>
    </row>
    <row r="105" spans="1:20" x14ac:dyDescent="0.25">
      <c r="A105" t="s">
        <v>133</v>
      </c>
      <c r="B105">
        <v>0.38700000000000001</v>
      </c>
      <c r="C105">
        <v>0.38</v>
      </c>
    </row>
    <row r="106" spans="1:20" x14ac:dyDescent="0.25">
      <c r="A106" t="s">
        <v>134</v>
      </c>
      <c r="B106">
        <v>0.38700000000000001</v>
      </c>
      <c r="C106">
        <v>0.38</v>
      </c>
    </row>
    <row r="107" spans="1:20" x14ac:dyDescent="0.25">
      <c r="A107" t="s">
        <v>135</v>
      </c>
      <c r="B107">
        <v>0.5</v>
      </c>
      <c r="C107">
        <v>0.4</v>
      </c>
      <c r="N107" s="19"/>
      <c r="O107" s="19"/>
      <c r="P107" s="19"/>
      <c r="Q107" s="19"/>
      <c r="R107" s="19"/>
      <c r="S107" s="19"/>
      <c r="T107" s="19"/>
    </row>
    <row r="108" spans="1:20" x14ac:dyDescent="0.25">
      <c r="A108" t="s">
        <v>136</v>
      </c>
      <c r="B108">
        <v>0.5</v>
      </c>
      <c r="C108">
        <v>0.4</v>
      </c>
    </row>
    <row r="109" spans="1:20" x14ac:dyDescent="0.25">
      <c r="A109" t="s">
        <v>137</v>
      </c>
      <c r="B109">
        <v>0.5</v>
      </c>
      <c r="C109">
        <v>0.4</v>
      </c>
    </row>
    <row r="110" spans="1:20" x14ac:dyDescent="0.25">
      <c r="A110" t="s">
        <v>138</v>
      </c>
      <c r="B110">
        <v>0.45</v>
      </c>
      <c r="C110">
        <v>0.6</v>
      </c>
    </row>
    <row r="111" spans="1:20" x14ac:dyDescent="0.25">
      <c r="A111" t="s">
        <v>139</v>
      </c>
      <c r="B111">
        <v>0.45</v>
      </c>
      <c r="C111">
        <v>0.6</v>
      </c>
    </row>
    <row r="112" spans="1:20" x14ac:dyDescent="0.25">
      <c r="A112" t="s">
        <v>140</v>
      </c>
      <c r="B112">
        <v>0.45</v>
      </c>
      <c r="C112">
        <v>0.6</v>
      </c>
    </row>
    <row r="113" spans="1:3" x14ac:dyDescent="0.25">
      <c r="A113" t="s">
        <v>141</v>
      </c>
      <c r="B113">
        <v>0.56000000000000005</v>
      </c>
      <c r="C113">
        <v>0.6</v>
      </c>
    </row>
    <row r="114" spans="1:3" x14ac:dyDescent="0.25">
      <c r="A114" t="s">
        <v>142</v>
      </c>
      <c r="B114">
        <v>0.56000000000000005</v>
      </c>
      <c r="C114">
        <v>0.6</v>
      </c>
    </row>
    <row r="115" spans="1:3" x14ac:dyDescent="0.25">
      <c r="A115" t="s">
        <v>143</v>
      </c>
      <c r="B115">
        <v>0.56000000000000005</v>
      </c>
      <c r="C115">
        <v>0.6</v>
      </c>
    </row>
    <row r="116" spans="1:3" x14ac:dyDescent="0.25">
      <c r="A116" t="s">
        <v>144</v>
      </c>
      <c r="B116">
        <v>0.66300000000000003</v>
      </c>
      <c r="C116">
        <v>0.08</v>
      </c>
    </row>
    <row r="117" spans="1:3" x14ac:dyDescent="0.25">
      <c r="A117" t="s">
        <v>145</v>
      </c>
      <c r="B117">
        <v>0.66300000000000003</v>
      </c>
      <c r="C117">
        <v>0.08</v>
      </c>
    </row>
    <row r="118" spans="1:3" x14ac:dyDescent="0.25">
      <c r="A118" t="s">
        <v>146</v>
      </c>
      <c r="B118">
        <v>0.66300000000000003</v>
      </c>
      <c r="C118">
        <v>0.08</v>
      </c>
    </row>
    <row r="119" spans="1:3" x14ac:dyDescent="0.25">
      <c r="A119" t="s">
        <v>147</v>
      </c>
      <c r="B119">
        <v>0.8</v>
      </c>
      <c r="C119">
        <v>0.75</v>
      </c>
    </row>
    <row r="120" spans="1:3" x14ac:dyDescent="0.25">
      <c r="A120" t="s">
        <v>148</v>
      </c>
      <c r="B120">
        <v>0.8</v>
      </c>
      <c r="C120">
        <v>0.75</v>
      </c>
    </row>
    <row r="121" spans="1:3" x14ac:dyDescent="0.25">
      <c r="A121" t="s">
        <v>149</v>
      </c>
      <c r="B121">
        <v>0.8</v>
      </c>
      <c r="C121">
        <v>0.75</v>
      </c>
    </row>
    <row r="122" spans="1:3" x14ac:dyDescent="0.25">
      <c r="A122" t="s">
        <v>150</v>
      </c>
      <c r="B122">
        <v>0.7</v>
      </c>
      <c r="C122">
        <v>0.35</v>
      </c>
    </row>
    <row r="123" spans="1:3" x14ac:dyDescent="0.25">
      <c r="A123" t="s">
        <v>151</v>
      </c>
      <c r="B123">
        <v>0.7</v>
      </c>
      <c r="C123">
        <v>0.35</v>
      </c>
    </row>
    <row r="124" spans="1:3" x14ac:dyDescent="0.25">
      <c r="A124" t="s">
        <v>152</v>
      </c>
      <c r="B124">
        <v>0.7</v>
      </c>
      <c r="C124">
        <v>0.35</v>
      </c>
    </row>
    <row r="125" spans="1:3" x14ac:dyDescent="0.25">
      <c r="A125" t="s">
        <v>153</v>
      </c>
      <c r="B125">
        <v>0.7</v>
      </c>
      <c r="C125">
        <v>0.35</v>
      </c>
    </row>
    <row r="126" spans="1:3" x14ac:dyDescent="0.25">
      <c r="A126" t="s">
        <v>154</v>
      </c>
      <c r="B126">
        <v>0.7</v>
      </c>
      <c r="C126">
        <v>0.3</v>
      </c>
    </row>
    <row r="127" spans="1:3" x14ac:dyDescent="0.25">
      <c r="A127" t="s">
        <v>155</v>
      </c>
      <c r="B127">
        <v>0.7</v>
      </c>
      <c r="C127">
        <v>0.3</v>
      </c>
    </row>
    <row r="128" spans="1:3" x14ac:dyDescent="0.25">
      <c r="A128" t="s">
        <v>156</v>
      </c>
      <c r="B128">
        <v>0.8</v>
      </c>
      <c r="C128">
        <v>0.8</v>
      </c>
    </row>
    <row r="129" spans="1:3" x14ac:dyDescent="0.25">
      <c r="A129" t="s">
        <v>157</v>
      </c>
      <c r="B129">
        <v>0.8</v>
      </c>
      <c r="C129">
        <v>0.8</v>
      </c>
    </row>
    <row r="130" spans="1:3" x14ac:dyDescent="0.25">
      <c r="A130" t="s">
        <v>158</v>
      </c>
      <c r="B130">
        <v>0.8</v>
      </c>
      <c r="C130">
        <v>0.8</v>
      </c>
    </row>
    <row r="131" spans="1:3" x14ac:dyDescent="0.25">
      <c r="A131" t="s">
        <v>159</v>
      </c>
      <c r="B131">
        <v>0.9</v>
      </c>
      <c r="C131">
        <v>0.8</v>
      </c>
    </row>
    <row r="132" spans="1:3" x14ac:dyDescent="0.25">
      <c r="A132" t="s">
        <v>160</v>
      </c>
      <c r="B132">
        <v>0.9</v>
      </c>
      <c r="C132">
        <v>0.8</v>
      </c>
    </row>
    <row r="133" spans="1:3" x14ac:dyDescent="0.25">
      <c r="A133" t="s">
        <v>161</v>
      </c>
      <c r="B133">
        <v>0.9</v>
      </c>
      <c r="C133">
        <v>0.8</v>
      </c>
    </row>
    <row r="134" spans="1:3" x14ac:dyDescent="0.25">
      <c r="A134" t="s">
        <v>162</v>
      </c>
      <c r="B134">
        <v>0.75</v>
      </c>
      <c r="C134">
        <v>0.4</v>
      </c>
    </row>
    <row r="135" spans="1:3" x14ac:dyDescent="0.25">
      <c r="A135" t="s">
        <v>31</v>
      </c>
      <c r="B135">
        <v>0.1875</v>
      </c>
      <c r="C135">
        <v>0.05</v>
      </c>
    </row>
    <row r="136" spans="1:3" x14ac:dyDescent="0.25">
      <c r="A136" t="s">
        <v>163</v>
      </c>
      <c r="B136">
        <v>0.2</v>
      </c>
      <c r="C136">
        <v>0.01</v>
      </c>
    </row>
    <row r="137" spans="1:3" x14ac:dyDescent="0.25">
      <c r="A137" t="s">
        <v>164</v>
      </c>
      <c r="B137">
        <v>0.66</v>
      </c>
      <c r="C137">
        <v>0.35</v>
      </c>
    </row>
    <row r="138" spans="1:3" x14ac:dyDescent="0.25">
      <c r="A138" t="s">
        <v>165</v>
      </c>
      <c r="B138">
        <v>0.28999999999999998</v>
      </c>
      <c r="C138">
        <v>0.22</v>
      </c>
    </row>
    <row r="139" spans="1:3" x14ac:dyDescent="0.25">
      <c r="A139" t="s">
        <v>166</v>
      </c>
      <c r="B139">
        <v>0.32</v>
      </c>
      <c r="C139">
        <v>0.23</v>
      </c>
    </row>
    <row r="140" spans="1:3" x14ac:dyDescent="0.25">
      <c r="A140" t="s">
        <v>167</v>
      </c>
      <c r="B140">
        <v>0.25600000000000001</v>
      </c>
      <c r="C140">
        <v>0.33</v>
      </c>
    </row>
  </sheetData>
  <mergeCells count="2">
    <mergeCell ref="E33:Q33"/>
    <mergeCell ref="E34:Q53"/>
  </mergeCells>
  <dataValidations count="3">
    <dataValidation type="list" allowBlank="1" showInputMessage="1" showErrorMessage="1" sqref="N14:N23 AQ26:AQ35 AQ38:AQ47 M26:M32 AN14:AN23 AN2:AN11 N2:N11" xr:uid="{7E82AF50-CCE4-4303-A706-7FE61A2A5285}">
      <formula1>$H$27:$H$29</formula1>
    </dataValidation>
    <dataValidation type="list" allowBlank="1" showInputMessage="1" showErrorMessage="1" sqref="I2:I11 AN26:AN35 AN38:AN47 I30:I32 I14:I23 I26" xr:uid="{D1760598-F17E-4212-BDD4-A863E2B09132}">
      <formula1>$E$27:$E$31</formula1>
    </dataValidation>
    <dataValidation type="list" allowBlank="1" showInputMessage="1" showErrorMessage="1" sqref="R2:R11 E14:E23 E26 E32 R14:R23 E2:E11" xr:uid="{AC57ABF9-CEFA-466D-A7C4-D24A86185ABE}">
      <formula1>$A$2:$A$140</formula1>
    </dataValidation>
  </dataValidations>
  <hyperlinks>
    <hyperlink ref="E54" r:id="rId1" xr:uid="{35F1DAE6-A8C2-483E-970E-E267851BE2FF}"/>
    <hyperlink ref="E55" r:id="rId2" xr:uid="{A2C9DC46-8185-4698-8E97-48D90ECA10EA}"/>
  </hyperlinks>
  <pageMargins left="0.7" right="0.7" top="0.75" bottom="0.75" header="0.3" footer="0.3"/>
  <pageSetup orientation="portrait" r:id="rId3"/>
  <tableParts count="5">
    <tablePart r:id="rId4"/>
    <tablePart r:id="rId5"/>
    <tablePart r:id="rId6"/>
    <tablePart r:id="rId7"/>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E21F7-B401-46E5-8D29-8C9532C2AFE8}">
  <dimension ref="A1:AV140"/>
  <sheetViews>
    <sheetView zoomScaleNormal="100" workbookViewId="0">
      <selection activeCell="H7" sqref="H7"/>
    </sheetView>
  </sheetViews>
  <sheetFormatPr defaultRowHeight="15" x14ac:dyDescent="0.25"/>
  <cols>
    <col min="1" max="1" width="25.7109375" customWidth="1"/>
    <col min="5" max="5" width="25.7109375" customWidth="1"/>
    <col min="6" max="6" width="11" customWidth="1"/>
    <col min="8" max="8" width="11.85546875" customWidth="1"/>
    <col min="9" max="9" width="11.140625" customWidth="1"/>
    <col min="10" max="10" width="11" customWidth="1"/>
    <col min="11" max="12" width="12.7109375" customWidth="1"/>
    <col min="13" max="13" width="11.7109375" customWidth="1"/>
    <col min="14" max="14" width="10.42578125" customWidth="1"/>
    <col min="15" max="15" width="12.7109375" customWidth="1"/>
    <col min="16" max="16" width="10.5703125" customWidth="1"/>
    <col min="18" max="19" width="12.7109375" customWidth="1"/>
    <col min="21" max="21" width="18.28515625" customWidth="1"/>
    <col min="36" max="36" width="15.7109375" customWidth="1"/>
  </cols>
  <sheetData>
    <row r="1" spans="1:39" x14ac:dyDescent="0.25">
      <c r="A1" t="s">
        <v>0</v>
      </c>
      <c r="B1" t="s">
        <v>1</v>
      </c>
      <c r="C1" t="s">
        <v>2</v>
      </c>
      <c r="E1" t="s">
        <v>3</v>
      </c>
      <c r="F1" t="s">
        <v>4</v>
      </c>
      <c r="G1" t="s">
        <v>2</v>
      </c>
      <c r="H1" t="s">
        <v>168</v>
      </c>
      <c r="I1" t="s">
        <v>169</v>
      </c>
      <c r="J1" t="s">
        <v>170</v>
      </c>
      <c r="K1" t="s">
        <v>171</v>
      </c>
      <c r="L1" t="s">
        <v>172</v>
      </c>
      <c r="M1" t="s">
        <v>173</v>
      </c>
    </row>
    <row r="2" spans="1:39" x14ac:dyDescent="0.25">
      <c r="A2" t="s">
        <v>15</v>
      </c>
      <c r="B2">
        <v>0.3</v>
      </c>
      <c r="C2">
        <v>0.09</v>
      </c>
      <c r="E2" t="s">
        <v>93</v>
      </c>
      <c r="F2" cm="1">
        <f t="array" ref="F2">_xlfn.XLOOKUP(E2, Table1320[[#All],[Bullet]], Table1320[[#All],[K_hit]], nil)</f>
        <v>0.6</v>
      </c>
      <c r="G2" cm="1">
        <f t="array" ref="G2">_xlfn.XLOOKUP(E2, Table1320[[#All],[Bullet]], Table1320[[#All],[K_Ap]], nil)</f>
        <v>0.21</v>
      </c>
      <c r="H2">
        <v>0.45</v>
      </c>
      <c r="I2" s="5">
        <v>5</v>
      </c>
      <c r="J2" s="1">
        <f>SUM(((F2)*H2)*I2)</f>
        <v>1.35</v>
      </c>
      <c r="K2" s="4">
        <f>ROUNDUP(1/J2,0)</f>
        <v>1</v>
      </c>
      <c r="L2" s="20">
        <v>6</v>
      </c>
      <c r="M2" s="4">
        <f>ROUNDUP(K2/L2,0)</f>
        <v>1</v>
      </c>
      <c r="S2" s="1"/>
      <c r="V2" s="1"/>
      <c r="W2" s="1"/>
      <c r="X2" s="5"/>
      <c r="AJ2" s="1"/>
      <c r="AK2" s="1"/>
      <c r="AM2" s="5"/>
    </row>
    <row r="3" spans="1:39" x14ac:dyDescent="0.25">
      <c r="A3" t="s">
        <v>19</v>
      </c>
      <c r="B3">
        <v>0.3</v>
      </c>
      <c r="C3">
        <v>0.09</v>
      </c>
      <c r="E3" t="s">
        <v>93</v>
      </c>
      <c r="F3" cm="1">
        <f t="array" ref="F3">_xlfn.XLOOKUP(E3, Table1320[[#All],[Bullet]], Table1320[[#All],[K_hit]], nil)</f>
        <v>0.6</v>
      </c>
      <c r="G3" cm="1">
        <f t="array" ref="G3">_xlfn.XLOOKUP(E3, Table1320[[#All],[Bullet]], Table1320[[#All],[K_Ap]], nil)</f>
        <v>0.21</v>
      </c>
      <c r="H3">
        <v>0.45</v>
      </c>
      <c r="I3" s="5">
        <v>1</v>
      </c>
      <c r="J3" s="1">
        <f>SUM(((F3)*H3)*I3)</f>
        <v>0.27</v>
      </c>
      <c r="K3" s="4">
        <f t="shared" ref="K3:K11" si="0">ROUNDUP(1/J3,0)</f>
        <v>4</v>
      </c>
      <c r="L3" s="20">
        <v>6</v>
      </c>
      <c r="M3" s="4">
        <f t="shared" ref="M3:M11" si="1">ROUNDUP(K3/L3,0)</f>
        <v>1</v>
      </c>
      <c r="S3" s="1"/>
      <c r="V3" s="1"/>
      <c r="W3" s="1"/>
      <c r="X3" s="5"/>
      <c r="AJ3" s="1"/>
      <c r="AK3" s="1"/>
      <c r="AM3" s="5"/>
    </row>
    <row r="4" spans="1:39" x14ac:dyDescent="0.25">
      <c r="A4" t="s">
        <v>20</v>
      </c>
      <c r="B4">
        <v>0.3</v>
      </c>
      <c r="C4">
        <v>0.09</v>
      </c>
      <c r="E4" t="s">
        <v>162</v>
      </c>
      <c r="F4" cm="1">
        <f t="array" ref="F4">_xlfn.XLOOKUP(E4, Table1320[[#All],[Bullet]], Table1320[[#All],[K_hit]], nil)</f>
        <v>0.75</v>
      </c>
      <c r="G4" cm="1">
        <f t="array" ref="G4">_xlfn.XLOOKUP(E4, Table1320[[#All],[Bullet]], Table1320[[#All],[K_Ap]], nil)</f>
        <v>0.4</v>
      </c>
      <c r="H4">
        <v>0.45</v>
      </c>
      <c r="I4" s="5">
        <v>5</v>
      </c>
      <c r="J4" s="1">
        <f>SUM(((F4)*H4)*I4)</f>
        <v>1.6875</v>
      </c>
      <c r="K4" s="4">
        <f t="shared" si="0"/>
        <v>1</v>
      </c>
      <c r="L4" s="20">
        <v>9</v>
      </c>
      <c r="M4" s="4">
        <f t="shared" si="1"/>
        <v>1</v>
      </c>
      <c r="S4" s="1"/>
      <c r="V4" s="1"/>
      <c r="W4" s="1"/>
      <c r="X4" s="5"/>
      <c r="AJ4" s="1"/>
      <c r="AK4" s="1"/>
      <c r="AM4" s="5"/>
    </row>
    <row r="5" spans="1:39" x14ac:dyDescent="0.25">
      <c r="A5" t="s">
        <v>21</v>
      </c>
      <c r="B5">
        <v>0.36</v>
      </c>
      <c r="C5">
        <v>0.02</v>
      </c>
      <c r="E5" t="s">
        <v>162</v>
      </c>
      <c r="F5" cm="1">
        <f t="array" ref="F5">_xlfn.XLOOKUP(E5, Table1320[[#All],[Bullet]], Table1320[[#All],[K_hit]], nil)</f>
        <v>0.75</v>
      </c>
      <c r="G5" cm="1">
        <f t="array" ref="G5">_xlfn.XLOOKUP(E5, Table1320[[#All],[Bullet]], Table1320[[#All],[K_Ap]], nil)</f>
        <v>0.4</v>
      </c>
      <c r="H5">
        <v>0.45</v>
      </c>
      <c r="I5" s="5">
        <v>1</v>
      </c>
      <c r="J5" s="1">
        <f>SUM(((F5)*H5)*I5)</f>
        <v>0.33750000000000002</v>
      </c>
      <c r="K5" s="4">
        <f t="shared" si="0"/>
        <v>3</v>
      </c>
      <c r="L5" s="20">
        <v>9</v>
      </c>
      <c r="M5" s="4">
        <f t="shared" si="1"/>
        <v>1</v>
      </c>
      <c r="S5" s="1"/>
      <c r="V5" s="1"/>
      <c r="W5" s="1"/>
      <c r="X5" s="5"/>
      <c r="AJ5" s="1"/>
      <c r="AK5" s="1"/>
      <c r="AM5" s="5"/>
    </row>
    <row r="6" spans="1:39" x14ac:dyDescent="0.25">
      <c r="A6" t="s">
        <v>22</v>
      </c>
      <c r="B6">
        <v>0.36</v>
      </c>
      <c r="C6">
        <v>0.02</v>
      </c>
      <c r="E6" t="s">
        <v>65</v>
      </c>
      <c r="F6" cm="1">
        <f t="array" ref="F6">_xlfn.XLOOKUP(E6, Table1320[[#All],[Bullet]], Table1320[[#All],[K_hit]], nil)</f>
        <v>0.28000000000000003</v>
      </c>
      <c r="G6" cm="1">
        <f t="array" ref="G6">_xlfn.XLOOKUP(E6, Table1320[[#All],[Bullet]], Table1320[[#All],[K_Ap]], nil)</f>
        <v>0.24</v>
      </c>
      <c r="H6">
        <v>0.45</v>
      </c>
      <c r="I6" s="5">
        <v>5</v>
      </c>
      <c r="J6" s="1">
        <f>SUM(((F6)*H6)*I6)</f>
        <v>0.63000000000000012</v>
      </c>
      <c r="K6" s="4">
        <f t="shared" si="0"/>
        <v>2</v>
      </c>
      <c r="L6" s="20">
        <v>6</v>
      </c>
      <c r="M6" s="4">
        <f t="shared" si="1"/>
        <v>1</v>
      </c>
      <c r="S6" s="1"/>
      <c r="V6" s="1"/>
      <c r="W6" s="1"/>
      <c r="X6" s="5"/>
      <c r="AJ6" s="1"/>
      <c r="AK6" s="1"/>
      <c r="AM6" s="5"/>
    </row>
    <row r="7" spans="1:39" x14ac:dyDescent="0.25">
      <c r="A7" t="s">
        <v>23</v>
      </c>
      <c r="B7">
        <v>0.36</v>
      </c>
      <c r="C7">
        <v>0.02</v>
      </c>
      <c r="E7" t="s">
        <v>65</v>
      </c>
      <c r="F7" cm="1">
        <f t="array" ref="F7">_xlfn.XLOOKUP(E7, Table1320[[#All],[Bullet]], Table1320[[#All],[K_hit]], nil)</f>
        <v>0.28000000000000003</v>
      </c>
      <c r="G7" cm="1">
        <f t="array" ref="G7">_xlfn.XLOOKUP(E7, Table1320[[#All],[Bullet]], Table1320[[#All],[K_Ap]], nil)</f>
        <v>0.24</v>
      </c>
      <c r="H7">
        <v>0.45</v>
      </c>
      <c r="I7" s="5">
        <v>1</v>
      </c>
      <c r="J7" s="1">
        <f>SUM(((F7)*H7)*I7)</f>
        <v>0.12600000000000003</v>
      </c>
      <c r="K7" s="4">
        <f t="shared" si="0"/>
        <v>8</v>
      </c>
      <c r="L7" s="20">
        <v>6</v>
      </c>
      <c r="M7" s="4">
        <f t="shared" si="1"/>
        <v>2</v>
      </c>
      <c r="S7" s="1"/>
      <c r="V7" s="1"/>
      <c r="W7" s="1"/>
      <c r="X7" s="5"/>
      <c r="AJ7" s="1"/>
      <c r="AK7" s="1"/>
      <c r="AM7" s="5"/>
    </row>
    <row r="8" spans="1:39" x14ac:dyDescent="0.25">
      <c r="A8" t="s">
        <v>24</v>
      </c>
      <c r="B8">
        <v>0.255</v>
      </c>
      <c r="C8">
        <v>0.13</v>
      </c>
      <c r="E8" t="s">
        <v>77</v>
      </c>
      <c r="F8" cm="1">
        <f t="array" ref="F8">_xlfn.XLOOKUP(E8, Table1320[[#All],[Bullet]], Table1320[[#All],[K_hit]], nil)</f>
        <v>0.36</v>
      </c>
      <c r="G8" cm="1">
        <f t="array" ref="G8">_xlfn.XLOOKUP(E8, Table1320[[#All],[Bullet]], Table1320[[#All],[K_Ap]], nil)</f>
        <v>0.1</v>
      </c>
      <c r="H8">
        <v>0.45</v>
      </c>
      <c r="I8" s="5">
        <v>5</v>
      </c>
      <c r="J8" s="1">
        <f>SUM(((F8)*H8)*I8)</f>
        <v>0.81</v>
      </c>
      <c r="K8" s="4">
        <f t="shared" si="0"/>
        <v>2</v>
      </c>
      <c r="L8" s="20">
        <v>6</v>
      </c>
      <c r="M8" s="4">
        <f t="shared" si="1"/>
        <v>1</v>
      </c>
      <c r="S8" s="1"/>
      <c r="V8" s="1"/>
      <c r="W8" s="1"/>
      <c r="X8" s="5"/>
      <c r="AJ8" s="1"/>
      <c r="AK8" s="1"/>
      <c r="AM8" s="5"/>
    </row>
    <row r="9" spans="1:39" x14ac:dyDescent="0.25">
      <c r="A9" t="s">
        <v>25</v>
      </c>
      <c r="B9">
        <v>0.255</v>
      </c>
      <c r="C9">
        <v>0.13</v>
      </c>
      <c r="E9" t="s">
        <v>77</v>
      </c>
      <c r="F9" cm="1">
        <f t="array" ref="F9">_xlfn.XLOOKUP(E9, Table1320[[#All],[Bullet]], Table1320[[#All],[K_hit]], nil)</f>
        <v>0.36</v>
      </c>
      <c r="G9" cm="1">
        <f t="array" ref="G9">_xlfn.XLOOKUP(E9, Table1320[[#All],[Bullet]], Table1320[[#All],[K_Ap]], nil)</f>
        <v>0.1</v>
      </c>
      <c r="H9">
        <v>0.45</v>
      </c>
      <c r="I9" s="5">
        <v>1</v>
      </c>
      <c r="J9" s="1">
        <f>SUM(((F9)*H9)*I9)</f>
        <v>0.16200000000000001</v>
      </c>
      <c r="K9" s="4">
        <f t="shared" si="0"/>
        <v>7</v>
      </c>
      <c r="L9" s="20">
        <v>6</v>
      </c>
      <c r="M9" s="4">
        <f t="shared" si="1"/>
        <v>2</v>
      </c>
      <c r="S9" s="1"/>
      <c r="V9" s="1"/>
      <c r="W9" s="1"/>
      <c r="X9" s="5"/>
      <c r="AJ9" s="1"/>
      <c r="AK9" s="1"/>
      <c r="AM9" s="5"/>
    </row>
    <row r="10" spans="1:39" x14ac:dyDescent="0.25">
      <c r="A10" t="s">
        <v>26</v>
      </c>
      <c r="B10">
        <v>0.255</v>
      </c>
      <c r="C10">
        <v>0.13</v>
      </c>
      <c r="E10" t="s">
        <v>62</v>
      </c>
      <c r="F10" cm="1">
        <f t="array" ref="F10">_xlfn.XLOOKUP(E10, Table1320[[#All],[Bullet]], Table1320[[#All],[K_hit]], nil)</f>
        <v>0.58499999999999996</v>
      </c>
      <c r="G10" cm="1">
        <f t="array" ref="G10">_xlfn.XLOOKUP(E10, Table1320[[#All],[Bullet]], Table1320[[#All],[K_Ap]], nil)</f>
        <v>0.04</v>
      </c>
      <c r="H10">
        <v>0.45</v>
      </c>
      <c r="I10" s="5">
        <v>5</v>
      </c>
      <c r="J10" s="1">
        <f>SUM(((F10)*H10)*I10)</f>
        <v>1.3162499999999999</v>
      </c>
      <c r="K10" s="4">
        <f t="shared" si="0"/>
        <v>1</v>
      </c>
      <c r="L10" s="20">
        <v>6</v>
      </c>
      <c r="M10" s="4">
        <f t="shared" si="1"/>
        <v>1</v>
      </c>
      <c r="S10" s="1"/>
      <c r="V10" s="1"/>
      <c r="W10" s="1"/>
      <c r="X10" s="5"/>
      <c r="AJ10" s="1"/>
      <c r="AK10" s="1"/>
      <c r="AM10" s="5"/>
    </row>
    <row r="11" spans="1:39" x14ac:dyDescent="0.25">
      <c r="A11" t="s">
        <v>27</v>
      </c>
      <c r="B11">
        <v>0.36</v>
      </c>
      <c r="C11">
        <v>0.11</v>
      </c>
      <c r="E11" t="s">
        <v>62</v>
      </c>
      <c r="F11" cm="1">
        <f t="array" ref="F11">_xlfn.XLOOKUP(E11, Table1320[[#All],[Bullet]], Table1320[[#All],[K_hit]], nil)</f>
        <v>0.58499999999999996</v>
      </c>
      <c r="G11" cm="1">
        <f t="array" ref="G11">_xlfn.XLOOKUP(E11, Table1320[[#All],[Bullet]], Table1320[[#All],[K_Ap]], nil)</f>
        <v>0.04</v>
      </c>
      <c r="H11">
        <v>0.45</v>
      </c>
      <c r="I11" s="5">
        <v>1</v>
      </c>
      <c r="J11" s="1">
        <f>SUM(((F11)*H11)*I11)</f>
        <v>0.26324999999999998</v>
      </c>
      <c r="K11" s="4">
        <f t="shared" si="0"/>
        <v>4</v>
      </c>
      <c r="L11" s="20">
        <v>6</v>
      </c>
      <c r="M11" s="4">
        <f t="shared" si="1"/>
        <v>1</v>
      </c>
      <c r="S11" s="1"/>
      <c r="V11" s="1"/>
      <c r="W11" s="1"/>
      <c r="X11" s="5"/>
      <c r="AJ11" s="1"/>
      <c r="AK11" s="1"/>
      <c r="AM11" s="5"/>
    </row>
    <row r="12" spans="1:39" x14ac:dyDescent="0.25">
      <c r="A12" t="s">
        <v>28</v>
      </c>
      <c r="B12">
        <v>0.36</v>
      </c>
      <c r="C12">
        <v>0.11</v>
      </c>
    </row>
    <row r="13" spans="1:39" x14ac:dyDescent="0.25">
      <c r="A13" t="s">
        <v>29</v>
      </c>
      <c r="B13">
        <v>0.36</v>
      </c>
      <c r="C13">
        <v>0.11</v>
      </c>
      <c r="E13" t="s">
        <v>3</v>
      </c>
      <c r="F13" t="s">
        <v>4</v>
      </c>
      <c r="G13" t="s">
        <v>2</v>
      </c>
      <c r="H13" t="s">
        <v>168</v>
      </c>
      <c r="I13" t="s">
        <v>169</v>
      </c>
      <c r="J13" t="s">
        <v>170</v>
      </c>
      <c r="K13" t="s">
        <v>171</v>
      </c>
      <c r="L13" t="s">
        <v>172</v>
      </c>
      <c r="M13" t="s">
        <v>173</v>
      </c>
    </row>
    <row r="14" spans="1:39" x14ac:dyDescent="0.25">
      <c r="A14" t="s">
        <v>30</v>
      </c>
      <c r="B14">
        <v>0.432</v>
      </c>
      <c r="C14">
        <v>0.05</v>
      </c>
      <c r="E14" t="s">
        <v>31</v>
      </c>
      <c r="F14" cm="1">
        <f t="array" ref="F14">_xlfn.XLOOKUP(E14, Table1320[[#All],[Bullet]], Table1320[[#All],[K_hit]], nil)</f>
        <v>0.1875</v>
      </c>
      <c r="G14" cm="1">
        <f t="array" ref="G14">_xlfn.XLOOKUP(E14, Table1320[[#All],[Bullet]], Table1320[[#All],[K_Ap]], nil)</f>
        <v>0.05</v>
      </c>
      <c r="H14">
        <v>0.45</v>
      </c>
      <c r="I14" s="5">
        <v>5</v>
      </c>
      <c r="J14" s="1">
        <f>SUM(((F14)*H14)*I14)</f>
        <v>0.421875</v>
      </c>
      <c r="K14" s="4">
        <f>ROUNDUP(1/J14,0)</f>
        <v>3</v>
      </c>
      <c r="L14" s="20">
        <v>6</v>
      </c>
      <c r="M14" s="4">
        <f>ROUNDUP(K14/L14,0)</f>
        <v>1</v>
      </c>
      <c r="U14" s="1"/>
      <c r="V14" s="1"/>
      <c r="X14" s="5"/>
      <c r="AJ14" s="1"/>
      <c r="AK14" s="1"/>
      <c r="AM14" s="5"/>
    </row>
    <row r="15" spans="1:39" x14ac:dyDescent="0.25">
      <c r="A15" t="s">
        <v>32</v>
      </c>
      <c r="B15">
        <v>0.432</v>
      </c>
      <c r="C15">
        <v>0.05</v>
      </c>
      <c r="E15" t="s">
        <v>31</v>
      </c>
      <c r="F15" cm="1">
        <f t="array" ref="F15">_xlfn.XLOOKUP(E15, Table1320[[#All],[Bullet]], Table1320[[#All],[K_hit]], nil)</f>
        <v>0.1875</v>
      </c>
      <c r="G15" cm="1">
        <f t="array" ref="G15">_xlfn.XLOOKUP(E15, Table1320[[#All],[Bullet]], Table1320[[#All],[K_Ap]], nil)</f>
        <v>0.05</v>
      </c>
      <c r="H15">
        <v>0.45</v>
      </c>
      <c r="I15" s="5">
        <v>1</v>
      </c>
      <c r="J15" s="1">
        <f>SUM(((F15)*H15)*I15)</f>
        <v>8.4375000000000006E-2</v>
      </c>
      <c r="K15" s="4">
        <f t="shared" ref="K15:K23" si="2">ROUNDUP(1/J15,0)</f>
        <v>12</v>
      </c>
      <c r="L15" s="20">
        <v>6</v>
      </c>
      <c r="M15" s="4">
        <f t="shared" ref="M15:M23" si="3">ROUNDUP(K15/L15,0)</f>
        <v>2</v>
      </c>
      <c r="U15" s="1"/>
      <c r="V15" s="1"/>
      <c r="X15" s="5"/>
      <c r="AJ15" s="1"/>
      <c r="AK15" s="1"/>
      <c r="AM15" s="5"/>
    </row>
    <row r="16" spans="1:39" x14ac:dyDescent="0.25">
      <c r="A16" t="s">
        <v>33</v>
      </c>
      <c r="B16">
        <v>0.432</v>
      </c>
      <c r="C16">
        <v>0.05</v>
      </c>
      <c r="E16" t="s">
        <v>16</v>
      </c>
      <c r="F16" cm="1">
        <f t="array" ref="F16">_xlfn.XLOOKUP(E16, Table1320[[#All],[Bullet]], Table1320[[#All],[K_hit]], nil)</f>
        <v>0.1</v>
      </c>
      <c r="G16" cm="1">
        <f t="array" ref="G16">_xlfn.XLOOKUP(E16, Table1320[[#All],[Bullet]], Table1320[[#All],[K_Ap]], nil)</f>
        <v>0.05</v>
      </c>
      <c r="H16">
        <v>0.45</v>
      </c>
      <c r="I16" s="5">
        <v>5</v>
      </c>
      <c r="J16" s="1">
        <f>SUM(((F16)*H16)*I16)</f>
        <v>0.22500000000000003</v>
      </c>
      <c r="K16" s="4">
        <f t="shared" si="2"/>
        <v>5</v>
      </c>
      <c r="L16" s="20">
        <v>9</v>
      </c>
      <c r="M16" s="4">
        <f t="shared" si="3"/>
        <v>1</v>
      </c>
      <c r="U16" s="1"/>
      <c r="V16" s="1"/>
      <c r="X16" s="5"/>
      <c r="AJ16" s="1"/>
      <c r="AK16" s="1"/>
      <c r="AM16" s="5"/>
    </row>
    <row r="17" spans="1:48" x14ac:dyDescent="0.25">
      <c r="A17" t="s">
        <v>34</v>
      </c>
      <c r="B17">
        <v>0.28799999999999998</v>
      </c>
      <c r="C17">
        <v>0.16</v>
      </c>
      <c r="E17" t="s">
        <v>16</v>
      </c>
      <c r="F17" cm="1">
        <f t="array" ref="F17">_xlfn.XLOOKUP(E17, Table1320[[#All],[Bullet]], Table1320[[#All],[K_hit]], nil)</f>
        <v>0.1</v>
      </c>
      <c r="G17" cm="1">
        <f t="array" ref="G17">_xlfn.XLOOKUP(E17, Table1320[[#All],[Bullet]], Table1320[[#All],[K_Ap]], nil)</f>
        <v>0.05</v>
      </c>
      <c r="H17">
        <v>0.45</v>
      </c>
      <c r="I17" s="5">
        <v>1</v>
      </c>
      <c r="J17" s="1">
        <f>SUM(((F17)*H17)*I17)</f>
        <v>4.5000000000000005E-2</v>
      </c>
      <c r="K17" s="4">
        <f t="shared" si="2"/>
        <v>23</v>
      </c>
      <c r="L17" s="20">
        <v>9</v>
      </c>
      <c r="M17" s="4">
        <f t="shared" si="3"/>
        <v>3</v>
      </c>
      <c r="U17" s="1"/>
      <c r="V17" s="1"/>
      <c r="X17" s="5"/>
      <c r="AJ17" s="1"/>
      <c r="AK17" s="1"/>
      <c r="AM17" s="5"/>
    </row>
    <row r="18" spans="1:48" x14ac:dyDescent="0.25">
      <c r="A18" t="s">
        <v>35</v>
      </c>
      <c r="B18">
        <v>0.28799999999999998</v>
      </c>
      <c r="C18">
        <v>0.16</v>
      </c>
      <c r="E18" t="s">
        <v>31</v>
      </c>
      <c r="F18" cm="1">
        <f t="array" ref="F18">_xlfn.XLOOKUP(E18, Table1320[[#All],[Bullet]], Table1320[[#All],[K_hit]], nil)</f>
        <v>0.1875</v>
      </c>
      <c r="G18" cm="1">
        <f t="array" ref="G18">_xlfn.XLOOKUP(E18, Table1320[[#All],[Bullet]], Table1320[[#All],[K_Ap]], nil)</f>
        <v>0.05</v>
      </c>
      <c r="H18">
        <v>0.55000000000000004</v>
      </c>
      <c r="I18" s="5">
        <v>5</v>
      </c>
      <c r="J18" s="1">
        <f>SUM(((F18)*H18)*I18)</f>
        <v>0.515625</v>
      </c>
      <c r="K18" s="4">
        <f t="shared" si="2"/>
        <v>2</v>
      </c>
      <c r="L18" s="20">
        <v>6</v>
      </c>
      <c r="M18" s="4">
        <f t="shared" si="3"/>
        <v>1</v>
      </c>
      <c r="U18" s="1"/>
      <c r="V18" s="1"/>
      <c r="X18" s="5"/>
      <c r="AJ18" s="1"/>
      <c r="AK18" s="1"/>
      <c r="AM18" s="5"/>
    </row>
    <row r="19" spans="1:48" x14ac:dyDescent="0.25">
      <c r="A19" t="s">
        <v>36</v>
      </c>
      <c r="B19">
        <v>0.28799999999999998</v>
      </c>
      <c r="C19">
        <v>0.16</v>
      </c>
      <c r="E19" t="s">
        <v>31</v>
      </c>
      <c r="F19" cm="1">
        <f t="array" ref="F19">_xlfn.XLOOKUP(E19, Table1320[[#All],[Bullet]], Table1320[[#All],[K_hit]], nil)</f>
        <v>0.1875</v>
      </c>
      <c r="G19" cm="1">
        <f t="array" ref="G19">_xlfn.XLOOKUP(E19, Table1320[[#All],[Bullet]], Table1320[[#All],[K_Ap]], nil)</f>
        <v>0.05</v>
      </c>
      <c r="H19">
        <v>0.55000000000000004</v>
      </c>
      <c r="I19" s="5">
        <v>1</v>
      </c>
      <c r="J19" s="1">
        <f>SUM(((F19)*H19)*I19)</f>
        <v>0.10312500000000001</v>
      </c>
      <c r="K19" s="4">
        <f t="shared" si="2"/>
        <v>10</v>
      </c>
      <c r="L19" s="20">
        <v>6</v>
      </c>
      <c r="M19" s="4">
        <f t="shared" si="3"/>
        <v>2</v>
      </c>
      <c r="U19" s="1"/>
      <c r="V19" s="1"/>
      <c r="X19" s="5"/>
      <c r="AJ19" s="1"/>
      <c r="AK19" s="1"/>
      <c r="AM19" s="5"/>
    </row>
    <row r="20" spans="1:48" x14ac:dyDescent="0.25">
      <c r="A20" t="s">
        <v>37</v>
      </c>
      <c r="B20">
        <v>0.28000000000000003</v>
      </c>
      <c r="C20">
        <v>0.18</v>
      </c>
      <c r="E20" t="s">
        <v>31</v>
      </c>
      <c r="F20" cm="1">
        <f t="array" ref="F20">_xlfn.XLOOKUP(E20, Table1320[[#All],[Bullet]], Table1320[[#All],[K_hit]], nil)</f>
        <v>0.1875</v>
      </c>
      <c r="G20" cm="1">
        <f t="array" ref="G20">_xlfn.XLOOKUP(E20, Table1320[[#All],[Bullet]], Table1320[[#All],[K_Ap]], nil)</f>
        <v>0.05</v>
      </c>
      <c r="H20">
        <v>0.55000000000000004</v>
      </c>
      <c r="I20" s="5">
        <v>1</v>
      </c>
      <c r="J20" s="1">
        <f>SUM(((F20)*H20)*I20)</f>
        <v>0.10312500000000001</v>
      </c>
      <c r="K20" s="4">
        <f t="shared" si="2"/>
        <v>10</v>
      </c>
      <c r="L20" s="20">
        <v>6</v>
      </c>
      <c r="M20" s="4">
        <f t="shared" si="3"/>
        <v>2</v>
      </c>
      <c r="U20" s="1"/>
      <c r="V20" s="1"/>
      <c r="X20" s="5"/>
      <c r="AJ20" s="1"/>
      <c r="AK20" s="1"/>
      <c r="AM20" s="5"/>
    </row>
    <row r="21" spans="1:48" x14ac:dyDescent="0.25">
      <c r="A21" t="s">
        <v>38</v>
      </c>
      <c r="B21">
        <v>0.28000000000000003</v>
      </c>
      <c r="C21">
        <v>0.18</v>
      </c>
      <c r="E21" t="s">
        <v>31</v>
      </c>
      <c r="F21" cm="1">
        <f t="array" ref="F21">_xlfn.XLOOKUP(E21, Table1320[[#All],[Bullet]], Table1320[[#All],[K_hit]], nil)</f>
        <v>0.1875</v>
      </c>
      <c r="G21" cm="1">
        <f t="array" ref="G21">_xlfn.XLOOKUP(E21, Table1320[[#All],[Bullet]], Table1320[[#All],[K_Ap]], nil)</f>
        <v>0.05</v>
      </c>
      <c r="H21">
        <v>0.55000000000000004</v>
      </c>
      <c r="I21" s="5">
        <v>1</v>
      </c>
      <c r="J21" s="1">
        <f>SUM(((F21)*H21)*I21)</f>
        <v>0.10312500000000001</v>
      </c>
      <c r="K21" s="4">
        <f t="shared" si="2"/>
        <v>10</v>
      </c>
      <c r="L21" s="20">
        <v>6</v>
      </c>
      <c r="M21" s="4">
        <f t="shared" si="3"/>
        <v>2</v>
      </c>
      <c r="U21" s="1"/>
      <c r="V21" s="1"/>
      <c r="X21" s="5"/>
      <c r="AJ21" s="1"/>
      <c r="AK21" s="1"/>
      <c r="AM21" s="5"/>
    </row>
    <row r="22" spans="1:48" x14ac:dyDescent="0.25">
      <c r="A22" t="s">
        <v>39</v>
      </c>
      <c r="B22">
        <v>0.28000000000000003</v>
      </c>
      <c r="C22">
        <v>0.18</v>
      </c>
      <c r="E22" t="s">
        <v>31</v>
      </c>
      <c r="F22" cm="1">
        <f t="array" ref="F22">_xlfn.XLOOKUP(E22, Table1320[[#All],[Bullet]], Table1320[[#All],[K_hit]], nil)</f>
        <v>0.1875</v>
      </c>
      <c r="G22" cm="1">
        <f t="array" ref="G22">_xlfn.XLOOKUP(E22, Table1320[[#All],[Bullet]], Table1320[[#All],[K_Ap]], nil)</f>
        <v>0.05</v>
      </c>
      <c r="H22">
        <v>0.55000000000000004</v>
      </c>
      <c r="I22" s="5">
        <v>1</v>
      </c>
      <c r="J22" s="1">
        <f>SUM(((F22)*H22)*I22)</f>
        <v>0.10312500000000001</v>
      </c>
      <c r="K22" s="4">
        <f t="shared" si="2"/>
        <v>10</v>
      </c>
      <c r="L22" s="20">
        <v>6</v>
      </c>
      <c r="M22" s="4">
        <f t="shared" si="3"/>
        <v>2</v>
      </c>
      <c r="U22" s="1"/>
      <c r="V22" s="1"/>
      <c r="X22" s="5"/>
      <c r="AJ22" s="1"/>
      <c r="AK22" s="1"/>
      <c r="AM22" s="5"/>
    </row>
    <row r="23" spans="1:48" x14ac:dyDescent="0.25">
      <c r="A23" t="s">
        <v>40</v>
      </c>
      <c r="B23">
        <v>0.224</v>
      </c>
      <c r="C23">
        <v>0.26</v>
      </c>
      <c r="E23" t="s">
        <v>31</v>
      </c>
      <c r="F23" cm="1">
        <f t="array" ref="F23">_xlfn.XLOOKUP(E23, Table1320[[#All],[Bullet]], Table1320[[#All],[K_hit]], nil)</f>
        <v>0.1875</v>
      </c>
      <c r="G23" cm="1">
        <f t="array" ref="G23">_xlfn.XLOOKUP(E23, Table1320[[#All],[Bullet]], Table1320[[#All],[K_Ap]], nil)</f>
        <v>0.05</v>
      </c>
      <c r="H23">
        <v>0.55000000000000004</v>
      </c>
      <c r="I23" s="5">
        <v>1</v>
      </c>
      <c r="J23" s="1">
        <f>SUM(((F23)*H23)*I23)</f>
        <v>0.10312500000000001</v>
      </c>
      <c r="K23" s="4">
        <f t="shared" si="2"/>
        <v>10</v>
      </c>
      <c r="L23" s="20">
        <v>6</v>
      </c>
      <c r="M23" s="4">
        <f t="shared" si="3"/>
        <v>2</v>
      </c>
      <c r="U23" s="1"/>
      <c r="V23" s="1"/>
      <c r="X23" s="5"/>
      <c r="AJ23" s="1"/>
      <c r="AK23" s="1"/>
      <c r="AM23" s="5"/>
    </row>
    <row r="24" spans="1:48" x14ac:dyDescent="0.25">
      <c r="A24" t="s">
        <v>41</v>
      </c>
      <c r="B24">
        <v>0.224</v>
      </c>
      <c r="C24">
        <v>0.26</v>
      </c>
    </row>
    <row r="25" spans="1:48" x14ac:dyDescent="0.25">
      <c r="A25" t="s">
        <v>42</v>
      </c>
      <c r="B25">
        <v>0.224</v>
      </c>
      <c r="C25">
        <v>0.26</v>
      </c>
    </row>
    <row r="26" spans="1:48" x14ac:dyDescent="0.25">
      <c r="A26" t="s">
        <v>43</v>
      </c>
      <c r="B26">
        <v>0.37</v>
      </c>
      <c r="C26">
        <v>0.08</v>
      </c>
      <c r="O26" s="1"/>
      <c r="P26" s="1"/>
      <c r="R26" s="5"/>
      <c r="AD26" s="1"/>
      <c r="AE26" s="1"/>
      <c r="AG26" s="5"/>
      <c r="AS26" s="1"/>
      <c r="AT26" s="1"/>
      <c r="AV26" s="5"/>
    </row>
    <row r="27" spans="1:48" x14ac:dyDescent="0.25">
      <c r="A27" t="s">
        <v>46</v>
      </c>
      <c r="B27">
        <v>0.37</v>
      </c>
      <c r="C27">
        <v>0.08</v>
      </c>
      <c r="O27" s="1"/>
      <c r="P27" s="1"/>
      <c r="R27" s="5"/>
      <c r="AD27" s="1"/>
      <c r="AE27" s="1"/>
      <c r="AG27" s="5"/>
      <c r="AS27" s="1"/>
      <c r="AT27" s="1"/>
      <c r="AV27" s="5"/>
    </row>
    <row r="28" spans="1:48" x14ac:dyDescent="0.25">
      <c r="A28" t="s">
        <v>48</v>
      </c>
      <c r="B28">
        <v>0.37</v>
      </c>
      <c r="C28">
        <v>0.08</v>
      </c>
      <c r="O28" s="1"/>
      <c r="P28" s="1"/>
      <c r="R28" s="5"/>
      <c r="AD28" s="1"/>
      <c r="AE28" s="1"/>
      <c r="AG28" s="5"/>
      <c r="AS28" s="1"/>
      <c r="AT28" s="1"/>
      <c r="AV28" s="5"/>
    </row>
    <row r="29" spans="1:48" x14ac:dyDescent="0.25">
      <c r="A29" t="s">
        <v>50</v>
      </c>
      <c r="B29">
        <v>0.25900000000000001</v>
      </c>
      <c r="C29">
        <v>0.19</v>
      </c>
      <c r="O29" s="1"/>
      <c r="P29" s="1"/>
      <c r="R29" s="5"/>
      <c r="AD29" s="1"/>
      <c r="AE29" s="1"/>
      <c r="AG29" s="5"/>
      <c r="AS29" s="1"/>
      <c r="AT29" s="1"/>
      <c r="AV29" s="5"/>
    </row>
    <row r="30" spans="1:48" x14ac:dyDescent="0.25">
      <c r="A30" t="s">
        <v>53</v>
      </c>
      <c r="B30">
        <v>0.25900000000000001</v>
      </c>
      <c r="C30">
        <v>0.19</v>
      </c>
      <c r="O30" s="1"/>
      <c r="P30" s="1"/>
      <c r="R30" s="5"/>
      <c r="AD30" s="1"/>
      <c r="AE30" s="1"/>
      <c r="AG30" s="5"/>
      <c r="AS30" s="1"/>
      <c r="AT30" s="1"/>
      <c r="AV30" s="5"/>
    </row>
    <row r="31" spans="1:48" x14ac:dyDescent="0.25">
      <c r="A31" t="s">
        <v>55</v>
      </c>
      <c r="B31">
        <v>0.25900000000000001</v>
      </c>
      <c r="C31">
        <v>0.19</v>
      </c>
      <c r="O31" s="1"/>
      <c r="P31" s="1"/>
      <c r="R31" s="5"/>
      <c r="AD31" s="1"/>
      <c r="AE31" s="1"/>
      <c r="AG31" s="5"/>
      <c r="AS31" s="1"/>
      <c r="AT31" s="1"/>
      <c r="AV31" s="5"/>
    </row>
    <row r="32" spans="1:48" ht="15.75" thickBot="1" x14ac:dyDescent="0.3">
      <c r="A32" t="s">
        <v>57</v>
      </c>
      <c r="B32">
        <v>0.45</v>
      </c>
      <c r="C32">
        <v>0.08</v>
      </c>
      <c r="AD32" s="1"/>
      <c r="AE32" s="1"/>
      <c r="AG32" s="5"/>
      <c r="AS32" s="1"/>
      <c r="AT32" s="1"/>
      <c r="AV32" s="5"/>
    </row>
    <row r="33" spans="1:48" ht="15.75" thickBot="1" x14ac:dyDescent="0.3">
      <c r="A33" t="s">
        <v>58</v>
      </c>
      <c r="B33">
        <v>0.45</v>
      </c>
      <c r="C33">
        <v>0.08</v>
      </c>
      <c r="E33" s="6" t="s">
        <v>59</v>
      </c>
      <c r="F33" s="7"/>
      <c r="G33" s="7"/>
      <c r="H33" s="7"/>
      <c r="I33" s="7"/>
      <c r="J33" s="7"/>
      <c r="K33" s="7"/>
      <c r="L33" s="7"/>
      <c r="M33" s="7"/>
      <c r="N33" s="7"/>
      <c r="O33" s="7"/>
      <c r="P33" s="7"/>
      <c r="Q33" s="8"/>
      <c r="AD33" s="1"/>
      <c r="AE33" s="1"/>
      <c r="AG33" s="5"/>
      <c r="AS33" s="1"/>
      <c r="AT33" s="1"/>
      <c r="AV33" s="5"/>
    </row>
    <row r="34" spans="1:48" x14ac:dyDescent="0.25">
      <c r="A34" t="s">
        <v>60</v>
      </c>
      <c r="B34">
        <v>0.45</v>
      </c>
      <c r="C34">
        <v>0.08</v>
      </c>
      <c r="E34" s="9" t="s">
        <v>174</v>
      </c>
      <c r="F34" s="10"/>
      <c r="G34" s="10"/>
      <c r="H34" s="10"/>
      <c r="I34" s="10"/>
      <c r="J34" s="10"/>
      <c r="K34" s="10"/>
      <c r="L34" s="10"/>
      <c r="M34" s="10"/>
      <c r="N34" s="10"/>
      <c r="O34" s="10"/>
      <c r="P34" s="10"/>
      <c r="Q34" s="11"/>
      <c r="AD34" s="1"/>
      <c r="AE34" s="1"/>
      <c r="AG34" s="5"/>
      <c r="AS34" s="1"/>
      <c r="AT34" s="1"/>
      <c r="AV34" s="5"/>
    </row>
    <row r="35" spans="1:48" x14ac:dyDescent="0.25">
      <c r="A35" t="s">
        <v>62</v>
      </c>
      <c r="B35">
        <v>0.58499999999999996</v>
      </c>
      <c r="C35">
        <v>0.04</v>
      </c>
      <c r="E35" s="12"/>
      <c r="F35" s="13"/>
      <c r="G35" s="13"/>
      <c r="H35" s="13"/>
      <c r="I35" s="13"/>
      <c r="J35" s="13"/>
      <c r="K35" s="13"/>
      <c r="L35" s="13"/>
      <c r="M35" s="13"/>
      <c r="N35" s="13"/>
      <c r="O35" s="13"/>
      <c r="P35" s="13"/>
      <c r="Q35" s="14"/>
      <c r="AD35" s="1"/>
      <c r="AE35" s="1"/>
      <c r="AG35" s="5"/>
      <c r="AS35" s="1"/>
      <c r="AT35" s="1"/>
      <c r="AV35" s="5"/>
    </row>
    <row r="36" spans="1:48" x14ac:dyDescent="0.25">
      <c r="A36" t="s">
        <v>63</v>
      </c>
      <c r="B36">
        <v>0.58499999999999996</v>
      </c>
      <c r="C36">
        <v>0.04</v>
      </c>
      <c r="E36" s="12"/>
      <c r="F36" s="13"/>
      <c r="G36" s="13"/>
      <c r="H36" s="13"/>
      <c r="I36" s="13"/>
      <c r="J36" s="13"/>
      <c r="K36" s="13"/>
      <c r="L36" s="13"/>
      <c r="M36" s="13"/>
      <c r="N36" s="13"/>
      <c r="O36" s="13"/>
      <c r="P36" s="13"/>
      <c r="Q36" s="14"/>
    </row>
    <row r="37" spans="1:48" x14ac:dyDescent="0.25">
      <c r="A37" t="s">
        <v>64</v>
      </c>
      <c r="B37">
        <v>0.58499999999999996</v>
      </c>
      <c r="C37">
        <v>0.04</v>
      </c>
      <c r="E37" s="12"/>
      <c r="F37" s="13"/>
      <c r="G37" s="13"/>
      <c r="H37" s="13"/>
      <c r="I37" s="13"/>
      <c r="J37" s="13"/>
      <c r="K37" s="13"/>
      <c r="L37" s="13"/>
      <c r="M37" s="13"/>
      <c r="N37" s="13"/>
      <c r="O37" s="13"/>
      <c r="P37" s="13"/>
      <c r="Q37" s="14"/>
    </row>
    <row r="38" spans="1:48" x14ac:dyDescent="0.25">
      <c r="A38" t="s">
        <v>65</v>
      </c>
      <c r="B38">
        <v>0.28000000000000003</v>
      </c>
      <c r="C38">
        <v>0.24</v>
      </c>
      <c r="E38" s="12"/>
      <c r="F38" s="13"/>
      <c r="G38" s="13"/>
      <c r="H38" s="13"/>
      <c r="I38" s="13"/>
      <c r="J38" s="13"/>
      <c r="K38" s="13"/>
      <c r="L38" s="13"/>
      <c r="M38" s="13"/>
      <c r="N38" s="13"/>
      <c r="O38" s="13"/>
      <c r="P38" s="13"/>
      <c r="Q38" s="14"/>
      <c r="AD38" s="1"/>
      <c r="AE38" s="1"/>
      <c r="AG38" s="5"/>
      <c r="AS38" s="1"/>
      <c r="AT38" s="1"/>
      <c r="AV38" s="5"/>
    </row>
    <row r="39" spans="1:48" x14ac:dyDescent="0.25">
      <c r="A39" t="s">
        <v>66</v>
      </c>
      <c r="B39">
        <v>0.28000000000000003</v>
      </c>
      <c r="C39">
        <v>0.28000000000000003</v>
      </c>
      <c r="E39" s="12"/>
      <c r="F39" s="13"/>
      <c r="G39" s="13"/>
      <c r="H39" s="13"/>
      <c r="I39" s="13"/>
      <c r="J39" s="13"/>
      <c r="K39" s="13"/>
      <c r="L39" s="13"/>
      <c r="M39" s="13"/>
      <c r="N39" s="13"/>
      <c r="O39" s="13"/>
      <c r="P39" s="13"/>
      <c r="Q39" s="14"/>
      <c r="AD39" s="1"/>
      <c r="AE39" s="1"/>
      <c r="AG39" s="5"/>
      <c r="AS39" s="1"/>
      <c r="AT39" s="1"/>
      <c r="AV39" s="5"/>
    </row>
    <row r="40" spans="1:48" x14ac:dyDescent="0.25">
      <c r="A40" t="s">
        <v>67</v>
      </c>
      <c r="B40">
        <v>0.28000000000000003</v>
      </c>
      <c r="C40">
        <v>0.24</v>
      </c>
      <c r="E40" s="12"/>
      <c r="F40" s="13"/>
      <c r="G40" s="13"/>
      <c r="H40" s="13"/>
      <c r="I40" s="13"/>
      <c r="J40" s="13"/>
      <c r="K40" s="13"/>
      <c r="L40" s="13"/>
      <c r="M40" s="13"/>
      <c r="N40" s="13"/>
      <c r="O40" s="13"/>
      <c r="P40" s="13"/>
      <c r="Q40" s="14"/>
      <c r="AD40" s="1"/>
      <c r="AE40" s="1"/>
      <c r="AG40" s="5"/>
      <c r="AS40" s="1"/>
      <c r="AT40" s="1"/>
      <c r="AV40" s="5"/>
    </row>
    <row r="41" spans="1:48" x14ac:dyDescent="0.25">
      <c r="A41" t="s">
        <v>68</v>
      </c>
      <c r="B41">
        <v>0.34</v>
      </c>
      <c r="C41">
        <v>0.11</v>
      </c>
      <c r="E41" s="12"/>
      <c r="F41" s="13"/>
      <c r="G41" s="13"/>
      <c r="H41" s="13"/>
      <c r="I41" s="13"/>
      <c r="J41" s="13"/>
      <c r="K41" s="13"/>
      <c r="L41" s="13"/>
      <c r="M41" s="13"/>
      <c r="N41" s="13"/>
      <c r="O41" s="13"/>
      <c r="P41" s="13"/>
      <c r="Q41" s="14"/>
      <c r="AD41" s="1"/>
      <c r="AE41" s="1"/>
      <c r="AG41" s="5"/>
      <c r="AS41" s="1"/>
      <c r="AT41" s="1"/>
      <c r="AV41" s="5"/>
    </row>
    <row r="42" spans="1:48" x14ac:dyDescent="0.25">
      <c r="A42" t="s">
        <v>69</v>
      </c>
      <c r="B42">
        <v>0.34</v>
      </c>
      <c r="C42">
        <v>0.11</v>
      </c>
      <c r="E42" s="12"/>
      <c r="F42" s="13"/>
      <c r="G42" s="13"/>
      <c r="H42" s="13"/>
      <c r="I42" s="13"/>
      <c r="J42" s="13"/>
      <c r="K42" s="13"/>
      <c r="L42" s="13"/>
      <c r="M42" s="13"/>
      <c r="N42" s="13"/>
      <c r="O42" s="13"/>
      <c r="P42" s="13"/>
      <c r="Q42" s="14"/>
      <c r="AD42" s="1"/>
      <c r="AE42" s="1"/>
      <c r="AG42" s="5"/>
      <c r="AS42" s="1"/>
      <c r="AT42" s="1"/>
      <c r="AV42" s="5"/>
    </row>
    <row r="43" spans="1:48" x14ac:dyDescent="0.25">
      <c r="A43" t="s">
        <v>70</v>
      </c>
      <c r="B43">
        <v>0.34</v>
      </c>
      <c r="C43">
        <v>0.11</v>
      </c>
      <c r="E43" s="12"/>
      <c r="F43" s="13"/>
      <c r="G43" s="13"/>
      <c r="H43" s="13"/>
      <c r="I43" s="13"/>
      <c r="J43" s="13"/>
      <c r="K43" s="13"/>
      <c r="L43" s="13"/>
      <c r="M43" s="13"/>
      <c r="N43" s="13"/>
      <c r="O43" s="13"/>
      <c r="P43" s="13"/>
      <c r="Q43" s="14"/>
      <c r="AD43" s="1"/>
      <c r="AE43" s="1"/>
      <c r="AG43" s="5"/>
      <c r="AS43" s="1"/>
      <c r="AT43" s="1"/>
      <c r="AV43" s="5"/>
    </row>
    <row r="44" spans="1:48" x14ac:dyDescent="0.25">
      <c r="A44" t="s">
        <v>71</v>
      </c>
      <c r="B44">
        <v>0.224</v>
      </c>
      <c r="C44">
        <v>0.34</v>
      </c>
      <c r="E44" s="12"/>
      <c r="F44" s="13"/>
      <c r="G44" s="13"/>
      <c r="H44" s="13"/>
      <c r="I44" s="13"/>
      <c r="J44" s="13"/>
      <c r="K44" s="13"/>
      <c r="L44" s="13"/>
      <c r="M44" s="13"/>
      <c r="N44" s="13"/>
      <c r="O44" s="13"/>
      <c r="P44" s="13"/>
      <c r="Q44" s="14"/>
      <c r="AD44" s="1"/>
      <c r="AE44" s="1"/>
      <c r="AG44" s="5"/>
      <c r="AS44" s="1"/>
      <c r="AT44" s="1"/>
      <c r="AV44" s="5"/>
    </row>
    <row r="45" spans="1:48" x14ac:dyDescent="0.25">
      <c r="A45" t="s">
        <v>72</v>
      </c>
      <c r="B45">
        <v>0.23400000000000001</v>
      </c>
      <c r="C45">
        <v>0.38</v>
      </c>
      <c r="E45" s="12"/>
      <c r="F45" s="13"/>
      <c r="G45" s="13"/>
      <c r="H45" s="13"/>
      <c r="I45" s="13"/>
      <c r="J45" s="13"/>
      <c r="K45" s="13"/>
      <c r="L45" s="13"/>
      <c r="M45" s="13"/>
      <c r="N45" s="13"/>
      <c r="O45" s="13"/>
      <c r="P45" s="13"/>
      <c r="Q45" s="14"/>
      <c r="AD45" s="1"/>
      <c r="AE45" s="1"/>
      <c r="AG45" s="5"/>
      <c r="AS45" s="1"/>
      <c r="AT45" s="1"/>
      <c r="AV45" s="5"/>
    </row>
    <row r="46" spans="1:48" x14ac:dyDescent="0.25">
      <c r="A46" t="s">
        <v>73</v>
      </c>
      <c r="B46">
        <v>0.224</v>
      </c>
      <c r="C46">
        <v>0.34</v>
      </c>
      <c r="E46" s="12"/>
      <c r="F46" s="13"/>
      <c r="G46" s="13"/>
      <c r="H46" s="13"/>
      <c r="I46" s="13"/>
      <c r="J46" s="13"/>
      <c r="K46" s="13"/>
      <c r="L46" s="13"/>
      <c r="M46" s="13"/>
      <c r="N46" s="13"/>
      <c r="O46" s="13"/>
      <c r="P46" s="13"/>
      <c r="Q46" s="14"/>
      <c r="AD46" s="1"/>
      <c r="AE46" s="1"/>
      <c r="AG46" s="5"/>
      <c r="AS46" s="1"/>
      <c r="AT46" s="1"/>
      <c r="AV46" s="5"/>
    </row>
    <row r="47" spans="1:48" x14ac:dyDescent="0.25">
      <c r="A47" t="s">
        <v>74</v>
      </c>
      <c r="B47">
        <v>0.3</v>
      </c>
      <c r="C47">
        <v>0.2</v>
      </c>
      <c r="E47" s="12"/>
      <c r="F47" s="13"/>
      <c r="G47" s="13"/>
      <c r="H47" s="13"/>
      <c r="I47" s="13"/>
      <c r="J47" s="13"/>
      <c r="K47" s="13"/>
      <c r="L47" s="13"/>
      <c r="M47" s="13"/>
      <c r="N47" s="13"/>
      <c r="O47" s="13"/>
      <c r="P47" s="13"/>
      <c r="Q47" s="14"/>
      <c r="AD47" s="1"/>
      <c r="AE47" s="1"/>
      <c r="AG47" s="5"/>
      <c r="AS47" s="1"/>
      <c r="AT47" s="1"/>
      <c r="AV47" s="5"/>
    </row>
    <row r="48" spans="1:48" x14ac:dyDescent="0.25">
      <c r="A48" t="s">
        <v>75</v>
      </c>
      <c r="B48">
        <v>0.31</v>
      </c>
      <c r="C48">
        <v>0.25</v>
      </c>
      <c r="E48" s="12"/>
      <c r="F48" s="13"/>
      <c r="G48" s="13"/>
      <c r="H48" s="13"/>
      <c r="I48" s="13"/>
      <c r="J48" s="13"/>
      <c r="K48" s="13"/>
      <c r="L48" s="13"/>
      <c r="M48" s="13"/>
      <c r="N48" s="13"/>
      <c r="O48" s="13"/>
      <c r="P48" s="13"/>
      <c r="Q48" s="14"/>
    </row>
    <row r="49" spans="1:17" x14ac:dyDescent="0.25">
      <c r="A49" t="s">
        <v>76</v>
      </c>
      <c r="B49">
        <v>0.3</v>
      </c>
      <c r="C49">
        <v>0.2</v>
      </c>
      <c r="E49" s="12"/>
      <c r="F49" s="13"/>
      <c r="G49" s="13"/>
      <c r="H49" s="13"/>
      <c r="I49" s="13"/>
      <c r="J49" s="13"/>
      <c r="K49" s="13"/>
      <c r="L49" s="13"/>
      <c r="M49" s="13"/>
      <c r="N49" s="13"/>
      <c r="O49" s="13"/>
      <c r="P49" s="13"/>
      <c r="Q49" s="14"/>
    </row>
    <row r="50" spans="1:17" x14ac:dyDescent="0.25">
      <c r="A50" t="s">
        <v>77</v>
      </c>
      <c r="B50">
        <v>0.36</v>
      </c>
      <c r="C50">
        <v>0.1</v>
      </c>
      <c r="E50" s="12"/>
      <c r="F50" s="13"/>
      <c r="G50" s="13"/>
      <c r="H50" s="13"/>
      <c r="I50" s="13"/>
      <c r="J50" s="13"/>
      <c r="K50" s="13"/>
      <c r="L50" s="13"/>
      <c r="M50" s="13"/>
      <c r="N50" s="13"/>
      <c r="O50" s="13"/>
      <c r="P50" s="13"/>
      <c r="Q50" s="14"/>
    </row>
    <row r="51" spans="1:17" x14ac:dyDescent="0.25">
      <c r="A51" t="s">
        <v>78</v>
      </c>
      <c r="B51">
        <v>0.36</v>
      </c>
      <c r="C51">
        <v>0.1</v>
      </c>
      <c r="E51" s="12"/>
      <c r="F51" s="13"/>
      <c r="G51" s="13"/>
      <c r="H51" s="13"/>
      <c r="I51" s="13"/>
      <c r="J51" s="13"/>
      <c r="K51" s="13"/>
      <c r="L51" s="13"/>
      <c r="M51" s="13"/>
      <c r="N51" s="13"/>
      <c r="O51" s="13"/>
      <c r="P51" s="13"/>
      <c r="Q51" s="14"/>
    </row>
    <row r="52" spans="1:17" x14ac:dyDescent="0.25">
      <c r="A52" t="s">
        <v>79</v>
      </c>
      <c r="B52">
        <v>0.36</v>
      </c>
      <c r="C52">
        <v>0.1</v>
      </c>
      <c r="E52" s="12"/>
      <c r="F52" s="13"/>
      <c r="G52" s="13"/>
      <c r="H52" s="13"/>
      <c r="I52" s="13"/>
      <c r="J52" s="13"/>
      <c r="K52" s="13"/>
      <c r="L52" s="13"/>
      <c r="M52" s="13"/>
      <c r="N52" s="13"/>
      <c r="O52" s="13"/>
      <c r="P52" s="13"/>
      <c r="Q52" s="14"/>
    </row>
    <row r="53" spans="1:17" ht="15.75" thickBot="1" x14ac:dyDescent="0.3">
      <c r="A53" t="s">
        <v>80</v>
      </c>
      <c r="B53">
        <v>0.24</v>
      </c>
      <c r="C53">
        <v>0.3</v>
      </c>
      <c r="E53" s="15"/>
      <c r="F53" s="16"/>
      <c r="G53" s="16"/>
      <c r="H53" s="16"/>
      <c r="I53" s="16"/>
      <c r="J53" s="16"/>
      <c r="K53" s="16"/>
      <c r="L53" s="16"/>
      <c r="M53" s="16"/>
      <c r="N53" s="16"/>
      <c r="O53" s="16"/>
      <c r="P53" s="16"/>
      <c r="Q53" s="17"/>
    </row>
    <row r="54" spans="1:17" x14ac:dyDescent="0.25">
      <c r="A54" t="s">
        <v>81</v>
      </c>
      <c r="B54">
        <v>0.26400000000000001</v>
      </c>
      <c r="C54">
        <v>0.35</v>
      </c>
      <c r="E54" s="18" t="s">
        <v>82</v>
      </c>
    </row>
    <row r="55" spans="1:17" x14ac:dyDescent="0.25">
      <c r="A55" t="s">
        <v>83</v>
      </c>
      <c r="B55">
        <v>0.24</v>
      </c>
      <c r="C55">
        <v>0.3</v>
      </c>
      <c r="E55" s="18" t="s">
        <v>84</v>
      </c>
    </row>
    <row r="56" spans="1:17" x14ac:dyDescent="0.25">
      <c r="A56" t="s">
        <v>85</v>
      </c>
      <c r="B56">
        <v>0.36</v>
      </c>
      <c r="C56">
        <v>0.26</v>
      </c>
    </row>
    <row r="57" spans="1:17" x14ac:dyDescent="0.25">
      <c r="A57" t="s">
        <v>86</v>
      </c>
      <c r="B57">
        <v>0.36</v>
      </c>
      <c r="C57">
        <v>0.26</v>
      </c>
    </row>
    <row r="58" spans="1:17" x14ac:dyDescent="0.25">
      <c r="A58" t="s">
        <v>87</v>
      </c>
      <c r="B58">
        <v>0.36</v>
      </c>
      <c r="C58">
        <v>0.26</v>
      </c>
    </row>
    <row r="59" spans="1:17" x14ac:dyDescent="0.25">
      <c r="A59" t="s">
        <v>88</v>
      </c>
      <c r="B59">
        <v>0.28799999999999998</v>
      </c>
      <c r="C59">
        <v>0.42</v>
      </c>
    </row>
    <row r="60" spans="1:17" x14ac:dyDescent="0.25">
      <c r="A60" t="s">
        <v>89</v>
      </c>
      <c r="B60">
        <v>0.28799999999999998</v>
      </c>
      <c r="C60">
        <v>0.42</v>
      </c>
    </row>
    <row r="61" spans="1:17" x14ac:dyDescent="0.25">
      <c r="A61" t="s">
        <v>90</v>
      </c>
      <c r="B61">
        <v>0.28799999999999998</v>
      </c>
      <c r="C61">
        <v>0.42</v>
      </c>
    </row>
    <row r="62" spans="1:17" x14ac:dyDescent="0.25">
      <c r="A62" t="s">
        <v>16</v>
      </c>
      <c r="B62">
        <v>0.1</v>
      </c>
      <c r="C62">
        <v>0.05</v>
      </c>
    </row>
    <row r="63" spans="1:17" x14ac:dyDescent="0.25">
      <c r="A63" t="s">
        <v>91</v>
      </c>
      <c r="B63">
        <v>0.1</v>
      </c>
      <c r="C63">
        <v>0.05</v>
      </c>
    </row>
    <row r="64" spans="1:17" x14ac:dyDescent="0.25">
      <c r="A64" t="s">
        <v>92</v>
      </c>
      <c r="B64">
        <v>0.1</v>
      </c>
      <c r="C64">
        <v>0.05</v>
      </c>
    </row>
    <row r="65" spans="1:20" x14ac:dyDescent="0.25">
      <c r="A65" t="s">
        <v>93</v>
      </c>
      <c r="B65">
        <v>0.6</v>
      </c>
      <c r="C65">
        <v>0.21</v>
      </c>
    </row>
    <row r="66" spans="1:20" x14ac:dyDescent="0.25">
      <c r="A66" t="s">
        <v>94</v>
      </c>
      <c r="B66">
        <v>0.6</v>
      </c>
      <c r="C66">
        <v>0.21</v>
      </c>
    </row>
    <row r="67" spans="1:20" x14ac:dyDescent="0.25">
      <c r="A67" t="s">
        <v>95</v>
      </c>
      <c r="B67">
        <v>0.6</v>
      </c>
      <c r="C67">
        <v>0.21</v>
      </c>
    </row>
    <row r="68" spans="1:20" x14ac:dyDescent="0.25">
      <c r="A68" t="s">
        <v>96</v>
      </c>
      <c r="B68">
        <v>0.3</v>
      </c>
      <c r="C68">
        <v>0.03</v>
      </c>
      <c r="N68" s="19"/>
      <c r="O68" s="19"/>
      <c r="P68" s="19"/>
      <c r="Q68" s="19"/>
      <c r="R68" s="19"/>
      <c r="S68" s="19"/>
      <c r="T68" s="19"/>
    </row>
    <row r="69" spans="1:20" x14ac:dyDescent="0.25">
      <c r="A69" t="s">
        <v>97</v>
      </c>
      <c r="B69">
        <v>0.45</v>
      </c>
      <c r="C69">
        <v>0.4</v>
      </c>
    </row>
    <row r="70" spans="1:20" x14ac:dyDescent="0.25">
      <c r="A70" t="s">
        <v>98</v>
      </c>
      <c r="B70">
        <v>0.48</v>
      </c>
      <c r="C70">
        <v>0.41</v>
      </c>
    </row>
    <row r="71" spans="1:20" x14ac:dyDescent="0.25">
      <c r="A71" t="s">
        <v>99</v>
      </c>
      <c r="B71">
        <v>0.48</v>
      </c>
      <c r="C71">
        <v>0.41</v>
      </c>
      <c r="N71" s="19"/>
      <c r="O71" s="19"/>
      <c r="P71" s="19"/>
      <c r="Q71" s="19"/>
      <c r="R71" s="19"/>
      <c r="S71" s="19"/>
      <c r="T71" s="19"/>
    </row>
    <row r="72" spans="1:20" x14ac:dyDescent="0.25">
      <c r="A72" t="s">
        <v>100</v>
      </c>
      <c r="B72">
        <v>0.48</v>
      </c>
      <c r="C72">
        <v>0.41</v>
      </c>
    </row>
    <row r="73" spans="1:20" x14ac:dyDescent="0.25">
      <c r="A73" t="s">
        <v>101</v>
      </c>
      <c r="B73">
        <v>0.4</v>
      </c>
      <c r="C73">
        <v>0.2</v>
      </c>
    </row>
    <row r="74" spans="1:20" x14ac:dyDescent="0.25">
      <c r="A74" t="s">
        <v>102</v>
      </c>
      <c r="B74">
        <v>0.33</v>
      </c>
      <c r="C74">
        <v>0.25</v>
      </c>
      <c r="N74" s="19"/>
      <c r="O74" s="19"/>
      <c r="P74" s="19"/>
      <c r="Q74" s="19"/>
      <c r="R74" s="19"/>
      <c r="S74" s="19"/>
      <c r="T74" s="19"/>
    </row>
    <row r="75" spans="1:20" x14ac:dyDescent="0.25">
      <c r="A75" t="s">
        <v>103</v>
      </c>
      <c r="B75">
        <v>0.33</v>
      </c>
      <c r="C75">
        <v>0.25</v>
      </c>
    </row>
    <row r="76" spans="1:20" x14ac:dyDescent="0.25">
      <c r="A76" t="s">
        <v>104</v>
      </c>
      <c r="B76">
        <v>0.33</v>
      </c>
      <c r="C76">
        <v>0.25</v>
      </c>
    </row>
    <row r="77" spans="1:20" x14ac:dyDescent="0.25">
      <c r="A77" t="s">
        <v>105</v>
      </c>
      <c r="B77">
        <v>0.26400000000000001</v>
      </c>
      <c r="C77">
        <v>0.35</v>
      </c>
      <c r="N77" s="19"/>
      <c r="O77" s="19"/>
      <c r="P77" s="19"/>
      <c r="Q77" s="19"/>
      <c r="R77" s="19"/>
      <c r="S77" s="19"/>
      <c r="T77" s="19"/>
    </row>
    <row r="78" spans="1:20" x14ac:dyDescent="0.25">
      <c r="A78" t="s">
        <v>106</v>
      </c>
      <c r="B78">
        <v>0.29699999999999999</v>
      </c>
      <c r="C78">
        <v>0.3</v>
      </c>
    </row>
    <row r="79" spans="1:20" x14ac:dyDescent="0.25">
      <c r="A79" t="s">
        <v>107</v>
      </c>
      <c r="B79">
        <v>0.26400000000000001</v>
      </c>
      <c r="C79">
        <v>0.35</v>
      </c>
    </row>
    <row r="80" spans="1:20" x14ac:dyDescent="0.25">
      <c r="A80" t="s">
        <v>108</v>
      </c>
      <c r="B80">
        <v>0.38</v>
      </c>
      <c r="C80">
        <v>0.27</v>
      </c>
      <c r="N80" s="19"/>
      <c r="O80" s="19"/>
      <c r="P80" s="19"/>
      <c r="Q80" s="19"/>
      <c r="R80" s="19"/>
      <c r="S80" s="19"/>
      <c r="T80" s="19"/>
    </row>
    <row r="81" spans="1:20" x14ac:dyDescent="0.25">
      <c r="A81" t="s">
        <v>109</v>
      </c>
      <c r="B81">
        <v>0.38</v>
      </c>
      <c r="C81">
        <v>0.27</v>
      </c>
    </row>
    <row r="82" spans="1:20" x14ac:dyDescent="0.25">
      <c r="A82" t="s">
        <v>110</v>
      </c>
      <c r="B82">
        <v>0.38</v>
      </c>
      <c r="C82">
        <v>0.27</v>
      </c>
    </row>
    <row r="83" spans="1:20" x14ac:dyDescent="0.25">
      <c r="A83" t="s">
        <v>111</v>
      </c>
      <c r="B83">
        <v>0.30399999999999999</v>
      </c>
      <c r="C83">
        <v>0.39</v>
      </c>
      <c r="N83" s="19"/>
      <c r="O83" s="19"/>
      <c r="P83" s="19"/>
      <c r="Q83" s="19"/>
      <c r="R83" s="19"/>
      <c r="S83" s="19"/>
      <c r="T83" s="19"/>
    </row>
    <row r="84" spans="1:20" x14ac:dyDescent="0.25">
      <c r="A84" t="s">
        <v>112</v>
      </c>
      <c r="B84">
        <v>0.30399999999999999</v>
      </c>
      <c r="C84">
        <v>0.39</v>
      </c>
    </row>
    <row r="85" spans="1:20" x14ac:dyDescent="0.25">
      <c r="A85" t="s">
        <v>113</v>
      </c>
      <c r="B85">
        <v>0.30399999999999999</v>
      </c>
      <c r="C85">
        <v>0.39</v>
      </c>
    </row>
    <row r="86" spans="1:20" x14ac:dyDescent="0.25">
      <c r="A86" t="s">
        <v>114</v>
      </c>
      <c r="B86">
        <v>0.4</v>
      </c>
      <c r="C86">
        <v>0.3</v>
      </c>
      <c r="N86" s="19"/>
      <c r="O86" s="19"/>
      <c r="P86" s="19"/>
      <c r="Q86" s="19"/>
      <c r="R86" s="19"/>
      <c r="S86" s="19"/>
      <c r="T86" s="19"/>
    </row>
    <row r="87" spans="1:20" x14ac:dyDescent="0.25">
      <c r="A87" t="s">
        <v>115</v>
      </c>
      <c r="B87">
        <v>0.4</v>
      </c>
      <c r="C87">
        <v>0.3</v>
      </c>
    </row>
    <row r="88" spans="1:20" x14ac:dyDescent="0.25">
      <c r="A88" t="s">
        <v>116</v>
      </c>
      <c r="B88">
        <v>0.4</v>
      </c>
      <c r="C88">
        <v>0.3</v>
      </c>
    </row>
    <row r="89" spans="1:20" x14ac:dyDescent="0.25">
      <c r="A89" t="s">
        <v>117</v>
      </c>
      <c r="B89">
        <v>0.34</v>
      </c>
      <c r="C89">
        <v>0.45</v>
      </c>
      <c r="N89" s="19"/>
      <c r="O89" s="19"/>
      <c r="P89" s="19"/>
      <c r="Q89" s="19"/>
      <c r="R89" s="19"/>
      <c r="S89" s="19"/>
      <c r="T89" s="19"/>
    </row>
    <row r="90" spans="1:20" x14ac:dyDescent="0.25">
      <c r="A90" t="s">
        <v>118</v>
      </c>
      <c r="B90">
        <v>0.32</v>
      </c>
      <c r="C90">
        <v>0.45</v>
      </c>
    </row>
    <row r="91" spans="1:20" x14ac:dyDescent="0.25">
      <c r="A91" t="s">
        <v>119</v>
      </c>
      <c r="B91">
        <v>0.36</v>
      </c>
      <c r="C91">
        <v>0.4</v>
      </c>
    </row>
    <row r="92" spans="1:20" x14ac:dyDescent="0.25">
      <c r="A92" t="s">
        <v>120</v>
      </c>
      <c r="B92">
        <v>0.41</v>
      </c>
      <c r="C92">
        <v>0.28000000000000003</v>
      </c>
      <c r="N92" s="19"/>
      <c r="O92" s="19"/>
      <c r="P92" s="19"/>
      <c r="Q92" s="19"/>
      <c r="R92" s="19"/>
      <c r="S92" s="19"/>
      <c r="T92" s="19"/>
    </row>
    <row r="93" spans="1:20" x14ac:dyDescent="0.25">
      <c r="A93" t="s">
        <v>121</v>
      </c>
      <c r="B93">
        <v>0.41</v>
      </c>
      <c r="C93">
        <v>0.28000000000000003</v>
      </c>
    </row>
    <row r="94" spans="1:20" x14ac:dyDescent="0.25">
      <c r="A94" t="s">
        <v>122</v>
      </c>
      <c r="B94">
        <v>0.41</v>
      </c>
      <c r="C94">
        <v>0.28000000000000003</v>
      </c>
    </row>
    <row r="95" spans="1:20" x14ac:dyDescent="0.25">
      <c r="A95" t="s">
        <v>123</v>
      </c>
      <c r="B95">
        <v>0.43</v>
      </c>
      <c r="C95">
        <v>0.32</v>
      </c>
      <c r="N95" s="19"/>
      <c r="O95" s="19"/>
      <c r="P95" s="19"/>
      <c r="Q95" s="19"/>
      <c r="R95" s="19"/>
      <c r="S95" s="19"/>
      <c r="T95" s="19"/>
    </row>
    <row r="96" spans="1:20" x14ac:dyDescent="0.25">
      <c r="A96" t="s">
        <v>124</v>
      </c>
      <c r="B96">
        <v>0.43</v>
      </c>
      <c r="C96">
        <v>0.32</v>
      </c>
    </row>
    <row r="97" spans="1:20" x14ac:dyDescent="0.25">
      <c r="A97" t="s">
        <v>125</v>
      </c>
      <c r="B97">
        <v>0.43</v>
      </c>
      <c r="C97">
        <v>0.32</v>
      </c>
    </row>
    <row r="98" spans="1:20" x14ac:dyDescent="0.25">
      <c r="A98" t="s">
        <v>126</v>
      </c>
      <c r="B98">
        <v>0.34399999999999997</v>
      </c>
      <c r="C98">
        <v>0.48</v>
      </c>
      <c r="N98" s="19"/>
      <c r="O98" s="19"/>
      <c r="P98" s="19"/>
      <c r="Q98" s="19"/>
      <c r="R98" s="19"/>
      <c r="S98" s="19"/>
      <c r="T98" s="19"/>
    </row>
    <row r="99" spans="1:20" x14ac:dyDescent="0.25">
      <c r="A99" t="s">
        <v>127</v>
      </c>
      <c r="B99">
        <v>0.34399999999999997</v>
      </c>
      <c r="C99">
        <v>0.48</v>
      </c>
    </row>
    <row r="100" spans="1:20" x14ac:dyDescent="0.25">
      <c r="A100" t="s">
        <v>128</v>
      </c>
      <c r="B100">
        <v>0.34399999999999997</v>
      </c>
      <c r="C100">
        <v>0.48</v>
      </c>
    </row>
    <row r="101" spans="1:20" x14ac:dyDescent="0.25">
      <c r="A101" t="s">
        <v>129</v>
      </c>
      <c r="B101">
        <v>0.26</v>
      </c>
      <c r="C101">
        <v>0.19</v>
      </c>
      <c r="N101" s="19"/>
      <c r="O101" s="19"/>
      <c r="P101" s="19"/>
      <c r="Q101" s="19"/>
      <c r="R101" s="19"/>
      <c r="S101" s="19"/>
      <c r="T101" s="19"/>
    </row>
    <row r="102" spans="1:20" x14ac:dyDescent="0.25">
      <c r="A102" t="s">
        <v>130</v>
      </c>
      <c r="B102">
        <v>0.26</v>
      </c>
      <c r="C102">
        <v>0.19</v>
      </c>
    </row>
    <row r="103" spans="1:20" x14ac:dyDescent="0.25">
      <c r="A103" t="s">
        <v>131</v>
      </c>
      <c r="B103">
        <v>0.26</v>
      </c>
      <c r="C103">
        <v>0.19</v>
      </c>
    </row>
    <row r="104" spans="1:20" x14ac:dyDescent="0.25">
      <c r="A104" t="s">
        <v>132</v>
      </c>
      <c r="B104">
        <v>0.38700000000000001</v>
      </c>
      <c r="C104">
        <v>0.38</v>
      </c>
      <c r="N104" s="19"/>
      <c r="O104" s="19"/>
      <c r="P104" s="19"/>
      <c r="Q104" s="19"/>
      <c r="R104" s="19"/>
      <c r="S104" s="19"/>
      <c r="T104" s="19"/>
    </row>
    <row r="105" spans="1:20" x14ac:dyDescent="0.25">
      <c r="A105" t="s">
        <v>133</v>
      </c>
      <c r="B105">
        <v>0.38700000000000001</v>
      </c>
      <c r="C105">
        <v>0.38</v>
      </c>
    </row>
    <row r="106" spans="1:20" x14ac:dyDescent="0.25">
      <c r="A106" t="s">
        <v>134</v>
      </c>
      <c r="B106">
        <v>0.38700000000000001</v>
      </c>
      <c r="C106">
        <v>0.38</v>
      </c>
    </row>
    <row r="107" spans="1:20" x14ac:dyDescent="0.25">
      <c r="A107" t="s">
        <v>135</v>
      </c>
      <c r="B107">
        <v>0.5</v>
      </c>
      <c r="C107">
        <v>0.4</v>
      </c>
      <c r="N107" s="19"/>
      <c r="O107" s="19"/>
      <c r="P107" s="19"/>
      <c r="Q107" s="19"/>
      <c r="R107" s="19"/>
      <c r="S107" s="19"/>
      <c r="T107" s="19"/>
    </row>
    <row r="108" spans="1:20" x14ac:dyDescent="0.25">
      <c r="A108" t="s">
        <v>136</v>
      </c>
      <c r="B108">
        <v>0.5</v>
      </c>
      <c r="C108">
        <v>0.4</v>
      </c>
    </row>
    <row r="109" spans="1:20" x14ac:dyDescent="0.25">
      <c r="A109" t="s">
        <v>137</v>
      </c>
      <c r="B109">
        <v>0.5</v>
      </c>
      <c r="C109">
        <v>0.4</v>
      </c>
    </row>
    <row r="110" spans="1:20" x14ac:dyDescent="0.25">
      <c r="A110" t="s">
        <v>138</v>
      </c>
      <c r="B110">
        <v>0.45</v>
      </c>
      <c r="C110">
        <v>0.6</v>
      </c>
    </row>
    <row r="111" spans="1:20" x14ac:dyDescent="0.25">
      <c r="A111" t="s">
        <v>139</v>
      </c>
      <c r="B111">
        <v>0.45</v>
      </c>
      <c r="C111">
        <v>0.6</v>
      </c>
    </row>
    <row r="112" spans="1:20" x14ac:dyDescent="0.25">
      <c r="A112" t="s">
        <v>140</v>
      </c>
      <c r="B112">
        <v>0.45</v>
      </c>
      <c r="C112">
        <v>0.6</v>
      </c>
    </row>
    <row r="113" spans="1:3" x14ac:dyDescent="0.25">
      <c r="A113" t="s">
        <v>141</v>
      </c>
      <c r="B113">
        <v>0.56000000000000005</v>
      </c>
      <c r="C113">
        <v>0.6</v>
      </c>
    </row>
    <row r="114" spans="1:3" x14ac:dyDescent="0.25">
      <c r="A114" t="s">
        <v>142</v>
      </c>
      <c r="B114">
        <v>0.56000000000000005</v>
      </c>
      <c r="C114">
        <v>0.6</v>
      </c>
    </row>
    <row r="115" spans="1:3" x14ac:dyDescent="0.25">
      <c r="A115" t="s">
        <v>143</v>
      </c>
      <c r="B115">
        <v>0.56000000000000005</v>
      </c>
      <c r="C115">
        <v>0.6</v>
      </c>
    </row>
    <row r="116" spans="1:3" x14ac:dyDescent="0.25">
      <c r="A116" t="s">
        <v>144</v>
      </c>
      <c r="B116">
        <v>0.66300000000000003</v>
      </c>
      <c r="C116">
        <v>0.08</v>
      </c>
    </row>
    <row r="117" spans="1:3" x14ac:dyDescent="0.25">
      <c r="A117" t="s">
        <v>145</v>
      </c>
      <c r="B117">
        <v>0.66300000000000003</v>
      </c>
      <c r="C117">
        <v>0.08</v>
      </c>
    </row>
    <row r="118" spans="1:3" x14ac:dyDescent="0.25">
      <c r="A118" t="s">
        <v>146</v>
      </c>
      <c r="B118">
        <v>0.66300000000000003</v>
      </c>
      <c r="C118">
        <v>0.08</v>
      </c>
    </row>
    <row r="119" spans="1:3" x14ac:dyDescent="0.25">
      <c r="A119" t="s">
        <v>147</v>
      </c>
      <c r="B119">
        <v>0.8</v>
      </c>
      <c r="C119">
        <v>0.75</v>
      </c>
    </row>
    <row r="120" spans="1:3" x14ac:dyDescent="0.25">
      <c r="A120" t="s">
        <v>148</v>
      </c>
      <c r="B120">
        <v>0.8</v>
      </c>
      <c r="C120">
        <v>0.75</v>
      </c>
    </row>
    <row r="121" spans="1:3" x14ac:dyDescent="0.25">
      <c r="A121" t="s">
        <v>149</v>
      </c>
      <c r="B121">
        <v>0.8</v>
      </c>
      <c r="C121">
        <v>0.75</v>
      </c>
    </row>
    <row r="122" spans="1:3" x14ac:dyDescent="0.25">
      <c r="A122" t="s">
        <v>150</v>
      </c>
      <c r="B122">
        <v>0.7</v>
      </c>
      <c r="C122">
        <v>0.35</v>
      </c>
    </row>
    <row r="123" spans="1:3" x14ac:dyDescent="0.25">
      <c r="A123" t="s">
        <v>151</v>
      </c>
      <c r="B123">
        <v>0.7</v>
      </c>
      <c r="C123">
        <v>0.35</v>
      </c>
    </row>
    <row r="124" spans="1:3" x14ac:dyDescent="0.25">
      <c r="A124" t="s">
        <v>152</v>
      </c>
      <c r="B124">
        <v>0.7</v>
      </c>
      <c r="C124">
        <v>0.35</v>
      </c>
    </row>
    <row r="125" spans="1:3" x14ac:dyDescent="0.25">
      <c r="A125" t="s">
        <v>153</v>
      </c>
      <c r="B125">
        <v>0.7</v>
      </c>
      <c r="C125">
        <v>0.35</v>
      </c>
    </row>
    <row r="126" spans="1:3" x14ac:dyDescent="0.25">
      <c r="A126" t="s">
        <v>154</v>
      </c>
      <c r="B126">
        <v>0.7</v>
      </c>
      <c r="C126">
        <v>0.3</v>
      </c>
    </row>
    <row r="127" spans="1:3" x14ac:dyDescent="0.25">
      <c r="A127" t="s">
        <v>155</v>
      </c>
      <c r="B127">
        <v>0.7</v>
      </c>
      <c r="C127">
        <v>0.3</v>
      </c>
    </row>
    <row r="128" spans="1:3" x14ac:dyDescent="0.25">
      <c r="A128" t="s">
        <v>156</v>
      </c>
      <c r="B128">
        <v>0.8</v>
      </c>
      <c r="C128">
        <v>0.8</v>
      </c>
    </row>
    <row r="129" spans="1:3" x14ac:dyDescent="0.25">
      <c r="A129" t="s">
        <v>157</v>
      </c>
      <c r="B129">
        <v>0.8</v>
      </c>
      <c r="C129">
        <v>0.8</v>
      </c>
    </row>
    <row r="130" spans="1:3" x14ac:dyDescent="0.25">
      <c r="A130" t="s">
        <v>158</v>
      </c>
      <c r="B130">
        <v>0.8</v>
      </c>
      <c r="C130">
        <v>0.8</v>
      </c>
    </row>
    <row r="131" spans="1:3" x14ac:dyDescent="0.25">
      <c r="A131" t="s">
        <v>159</v>
      </c>
      <c r="B131">
        <v>0.9</v>
      </c>
      <c r="C131">
        <v>0.8</v>
      </c>
    </row>
    <row r="132" spans="1:3" x14ac:dyDescent="0.25">
      <c r="A132" t="s">
        <v>160</v>
      </c>
      <c r="B132">
        <v>0.9</v>
      </c>
      <c r="C132">
        <v>0.8</v>
      </c>
    </row>
    <row r="133" spans="1:3" x14ac:dyDescent="0.25">
      <c r="A133" t="s">
        <v>161</v>
      </c>
      <c r="B133">
        <v>0.9</v>
      </c>
      <c r="C133">
        <v>0.8</v>
      </c>
    </row>
    <row r="134" spans="1:3" x14ac:dyDescent="0.25">
      <c r="A134" t="s">
        <v>162</v>
      </c>
      <c r="B134">
        <v>0.75</v>
      </c>
      <c r="C134">
        <v>0.4</v>
      </c>
    </row>
    <row r="135" spans="1:3" x14ac:dyDescent="0.25">
      <c r="A135" t="s">
        <v>31</v>
      </c>
      <c r="B135">
        <v>0.1875</v>
      </c>
      <c r="C135">
        <v>0.05</v>
      </c>
    </row>
    <row r="136" spans="1:3" x14ac:dyDescent="0.25">
      <c r="A136" t="s">
        <v>163</v>
      </c>
      <c r="B136">
        <v>0.2</v>
      </c>
      <c r="C136">
        <v>0.01</v>
      </c>
    </row>
    <row r="137" spans="1:3" x14ac:dyDescent="0.25">
      <c r="A137" t="s">
        <v>164</v>
      </c>
      <c r="B137">
        <v>0.66</v>
      </c>
      <c r="C137">
        <v>0.35</v>
      </c>
    </row>
    <row r="138" spans="1:3" x14ac:dyDescent="0.25">
      <c r="A138" t="s">
        <v>165</v>
      </c>
      <c r="B138">
        <v>0.28999999999999998</v>
      </c>
      <c r="C138">
        <v>0.22</v>
      </c>
    </row>
    <row r="139" spans="1:3" x14ac:dyDescent="0.25">
      <c r="A139" t="s">
        <v>166</v>
      </c>
      <c r="B139">
        <v>0.32</v>
      </c>
      <c r="C139">
        <v>0.23</v>
      </c>
    </row>
    <row r="140" spans="1:3" x14ac:dyDescent="0.25">
      <c r="A140" t="s">
        <v>167</v>
      </c>
      <c r="B140">
        <v>0.25600000000000001</v>
      </c>
      <c r="C140">
        <v>0.33</v>
      </c>
    </row>
  </sheetData>
  <mergeCells count="2">
    <mergeCell ref="E33:Q33"/>
    <mergeCell ref="E34:Q53"/>
  </mergeCells>
  <dataValidations count="3">
    <dataValidation type="list" allowBlank="1" showInputMessage="1" showErrorMessage="1" sqref="E32 E14:E23 E2:E11" xr:uid="{E59CE8F8-37B6-41B9-BE5F-E464F372BDCB}">
      <formula1>$A$2:$A$140</formula1>
    </dataValidation>
    <dataValidation type="list" allowBlank="1" showInputMessage="1" showErrorMessage="1" sqref="I30:I32 AN26:AN35 AN38:AN47" xr:uid="{B8DFFBEC-9CDB-4AC7-96BA-93B1EF061EF5}">
      <formula1>$E$27:$E$31</formula1>
    </dataValidation>
    <dataValidation type="list" allowBlank="1" showInputMessage="1" showErrorMessage="1" sqref="AH2:AH11 AQ26:AQ35 AQ38:AQ47 M26:M32 AH14:AH23" xr:uid="{79F74CCC-D9DC-456E-A04A-A16FFD112F28}">
      <formula1>$H$27:$H$29</formula1>
    </dataValidation>
  </dataValidations>
  <hyperlinks>
    <hyperlink ref="E54" r:id="rId1" xr:uid="{1E3C7C87-FF1C-422E-877F-1F837FDB3383}"/>
    <hyperlink ref="E55" r:id="rId2" xr:uid="{100B4AFA-EEDD-4EB1-ADEE-F4C89EBF25E4}"/>
  </hyperlinks>
  <pageMargins left="0.7" right="0.7" top="0.75" bottom="0.75" header="0.3" footer="0.3"/>
  <pageSetup orientation="portrait" r:id="rId3"/>
  <tableParts count="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31DFC-4C18-4DC0-B3F7-CF9D3053D037}">
  <dimension ref="A1:W19"/>
  <sheetViews>
    <sheetView workbookViewId="0">
      <selection activeCell="O10" sqref="O10"/>
    </sheetView>
  </sheetViews>
  <sheetFormatPr defaultRowHeight="15" x14ac:dyDescent="0.25"/>
  <sheetData>
    <row r="1" spans="1:23" x14ac:dyDescent="0.25">
      <c r="A1" s="21" t="s">
        <v>175</v>
      </c>
      <c r="D1" s="22" t="s">
        <v>176</v>
      </c>
      <c r="G1" s="23" t="s">
        <v>177</v>
      </c>
      <c r="J1" s="24" t="s">
        <v>178</v>
      </c>
      <c r="M1" s="25" t="s">
        <v>179</v>
      </c>
      <c r="P1" s="26" t="s">
        <v>180</v>
      </c>
      <c r="S1" s="27" t="s">
        <v>181</v>
      </c>
      <c r="V1" s="28" t="s">
        <v>182</v>
      </c>
    </row>
    <row r="2" spans="1:23" x14ac:dyDescent="0.25">
      <c r="A2" t="s">
        <v>183</v>
      </c>
      <c r="B2" t="s">
        <v>184</v>
      </c>
      <c r="D2" t="s">
        <v>183</v>
      </c>
      <c r="E2" t="s">
        <v>185</v>
      </c>
      <c r="G2" t="s">
        <v>183</v>
      </c>
      <c r="H2" t="s">
        <v>186</v>
      </c>
      <c r="J2" t="s">
        <v>183</v>
      </c>
      <c r="K2" t="s">
        <v>184</v>
      </c>
      <c r="M2" t="s">
        <v>183</v>
      </c>
      <c r="N2" t="s">
        <v>184</v>
      </c>
      <c r="P2" t="s">
        <v>183</v>
      </c>
      <c r="Q2" t="s">
        <v>186</v>
      </c>
      <c r="S2" t="s">
        <v>183</v>
      </c>
      <c r="T2" t="s">
        <v>184</v>
      </c>
      <c r="V2" t="s">
        <v>183</v>
      </c>
      <c r="W2" t="s">
        <v>184</v>
      </c>
    </row>
    <row r="3" spans="1:23" x14ac:dyDescent="0.25">
      <c r="A3" t="s">
        <v>187</v>
      </c>
      <c r="B3" t="s">
        <v>186</v>
      </c>
      <c r="D3" t="s">
        <v>187</v>
      </c>
      <c r="E3" t="s">
        <v>186</v>
      </c>
      <c r="G3" t="s">
        <v>187</v>
      </c>
      <c r="H3" t="s">
        <v>185</v>
      </c>
      <c r="J3" t="s">
        <v>187</v>
      </c>
      <c r="K3" t="s">
        <v>185</v>
      </c>
      <c r="M3" t="s">
        <v>187</v>
      </c>
      <c r="N3" t="s">
        <v>184</v>
      </c>
      <c r="P3" t="s">
        <v>187</v>
      </c>
      <c r="Q3" t="s">
        <v>184</v>
      </c>
      <c r="S3" t="s">
        <v>187</v>
      </c>
      <c r="T3" t="s">
        <v>185</v>
      </c>
      <c r="V3" t="s">
        <v>187</v>
      </c>
      <c r="W3" t="s">
        <v>184</v>
      </c>
    </row>
    <row r="4" spans="1:23" x14ac:dyDescent="0.25">
      <c r="A4" t="s">
        <v>188</v>
      </c>
      <c r="B4" t="s">
        <v>185</v>
      </c>
      <c r="D4" t="s">
        <v>188</v>
      </c>
      <c r="E4" t="s">
        <v>184</v>
      </c>
      <c r="G4" t="s">
        <v>188</v>
      </c>
      <c r="H4" t="s">
        <v>184</v>
      </c>
      <c r="J4" t="s">
        <v>188</v>
      </c>
      <c r="K4" t="s">
        <v>186</v>
      </c>
      <c r="M4" t="s">
        <v>188</v>
      </c>
      <c r="N4" t="s">
        <v>185</v>
      </c>
      <c r="P4" t="s">
        <v>188</v>
      </c>
      <c r="Q4" t="s">
        <v>185</v>
      </c>
      <c r="S4" t="s">
        <v>188</v>
      </c>
      <c r="T4" t="s">
        <v>184</v>
      </c>
      <c r="V4" t="s">
        <v>188</v>
      </c>
      <c r="W4" t="s">
        <v>185</v>
      </c>
    </row>
    <row r="5" spans="1:23" x14ac:dyDescent="0.25">
      <c r="A5" t="s">
        <v>189</v>
      </c>
      <c r="B5" t="s">
        <v>184</v>
      </c>
      <c r="D5" t="s">
        <v>189</v>
      </c>
      <c r="E5" t="s">
        <v>184</v>
      </c>
      <c r="G5" t="s">
        <v>189</v>
      </c>
      <c r="H5" t="s">
        <v>185</v>
      </c>
      <c r="J5" t="s">
        <v>189</v>
      </c>
      <c r="K5" t="s">
        <v>184</v>
      </c>
      <c r="M5" t="s">
        <v>189</v>
      </c>
      <c r="N5" t="s">
        <v>186</v>
      </c>
      <c r="P5" t="s">
        <v>189</v>
      </c>
      <c r="Q5" t="s">
        <v>184</v>
      </c>
      <c r="S5" t="s">
        <v>189</v>
      </c>
      <c r="T5" t="s">
        <v>184</v>
      </c>
      <c r="V5" t="s">
        <v>189</v>
      </c>
      <c r="W5" t="s">
        <v>185</v>
      </c>
    </row>
    <row r="6" spans="1:23" x14ac:dyDescent="0.25">
      <c r="A6" t="s">
        <v>190</v>
      </c>
      <c r="B6" t="s">
        <v>185</v>
      </c>
      <c r="D6" t="s">
        <v>190</v>
      </c>
      <c r="E6" t="s">
        <v>185</v>
      </c>
      <c r="G6" t="s">
        <v>190</v>
      </c>
      <c r="H6" t="s">
        <v>184</v>
      </c>
      <c r="J6" t="s">
        <v>190</v>
      </c>
      <c r="K6" t="s">
        <v>185</v>
      </c>
      <c r="M6" t="s">
        <v>190</v>
      </c>
      <c r="N6" t="s">
        <v>185</v>
      </c>
      <c r="P6" t="s">
        <v>190</v>
      </c>
      <c r="Q6" t="s">
        <v>185</v>
      </c>
      <c r="S6" t="s">
        <v>190</v>
      </c>
      <c r="T6" t="s">
        <v>185</v>
      </c>
      <c r="V6" t="s">
        <v>190</v>
      </c>
      <c r="W6" t="s">
        <v>184</v>
      </c>
    </row>
    <row r="7" spans="1:23" x14ac:dyDescent="0.25">
      <c r="A7" t="s">
        <v>191</v>
      </c>
      <c r="B7" t="s">
        <v>184</v>
      </c>
      <c r="D7" t="s">
        <v>191</v>
      </c>
      <c r="E7" t="s">
        <v>184</v>
      </c>
      <c r="G7" t="s">
        <v>191</v>
      </c>
      <c r="H7" t="s">
        <v>184</v>
      </c>
      <c r="J7" t="s">
        <v>191</v>
      </c>
      <c r="K7" t="s">
        <v>186</v>
      </c>
      <c r="M7" t="s">
        <v>191</v>
      </c>
      <c r="N7" t="s">
        <v>184</v>
      </c>
      <c r="P7" t="s">
        <v>191</v>
      </c>
      <c r="Q7" t="s">
        <v>184</v>
      </c>
      <c r="S7" t="s">
        <v>191</v>
      </c>
      <c r="T7" t="s">
        <v>184</v>
      </c>
      <c r="V7" t="s">
        <v>191</v>
      </c>
      <c r="W7" t="s">
        <v>185</v>
      </c>
    </row>
    <row r="8" spans="1:23" x14ac:dyDescent="0.25">
      <c r="A8" t="s">
        <v>192</v>
      </c>
      <c r="B8" t="s">
        <v>185</v>
      </c>
      <c r="D8" t="s">
        <v>192</v>
      </c>
      <c r="E8" t="s">
        <v>185</v>
      </c>
      <c r="G8" t="s">
        <v>192</v>
      </c>
      <c r="H8" t="s">
        <v>186</v>
      </c>
      <c r="J8" t="s">
        <v>192</v>
      </c>
      <c r="K8" t="s">
        <v>184</v>
      </c>
      <c r="M8" t="s">
        <v>192</v>
      </c>
      <c r="N8" t="s">
        <v>185</v>
      </c>
      <c r="P8" t="s">
        <v>192</v>
      </c>
      <c r="Q8" t="s">
        <v>186</v>
      </c>
      <c r="S8" t="s">
        <v>192</v>
      </c>
      <c r="T8" t="s">
        <v>185</v>
      </c>
      <c r="V8" t="s">
        <v>192</v>
      </c>
      <c r="W8" t="s">
        <v>184</v>
      </c>
    </row>
    <row r="9" spans="1:23" x14ac:dyDescent="0.25">
      <c r="A9" t="s">
        <v>193</v>
      </c>
      <c r="B9" t="s">
        <v>186</v>
      </c>
      <c r="D9" t="s">
        <v>193</v>
      </c>
      <c r="E9" t="s">
        <v>186</v>
      </c>
      <c r="G9" t="s">
        <v>193</v>
      </c>
      <c r="H9" t="s">
        <v>185</v>
      </c>
      <c r="J9" t="s">
        <v>193</v>
      </c>
      <c r="K9" t="s">
        <v>185</v>
      </c>
      <c r="M9" t="s">
        <v>193</v>
      </c>
      <c r="N9" t="s">
        <v>186</v>
      </c>
      <c r="P9" t="s">
        <v>193</v>
      </c>
      <c r="Q9" t="s">
        <v>185</v>
      </c>
      <c r="S9" t="s">
        <v>193</v>
      </c>
      <c r="T9" t="s">
        <v>186</v>
      </c>
      <c r="V9" t="s">
        <v>193</v>
      </c>
      <c r="W9" t="s">
        <v>186</v>
      </c>
    </row>
    <row r="11" spans="1:23" x14ac:dyDescent="0.25">
      <c r="A11" s="29" t="s">
        <v>194</v>
      </c>
      <c r="D11" s="22" t="s">
        <v>195</v>
      </c>
      <c r="G11" s="30" t="s">
        <v>196</v>
      </c>
      <c r="J11" s="31" t="s">
        <v>197</v>
      </c>
    </row>
    <row r="12" spans="1:23" x14ac:dyDescent="0.25">
      <c r="A12" t="s">
        <v>183</v>
      </c>
      <c r="B12" t="s">
        <v>184</v>
      </c>
      <c r="D12" t="s">
        <v>183</v>
      </c>
      <c r="E12" t="s">
        <v>186</v>
      </c>
      <c r="G12" t="s">
        <v>183</v>
      </c>
      <c r="H12" t="s">
        <v>185</v>
      </c>
      <c r="J12" t="s">
        <v>183</v>
      </c>
      <c r="K12" t="s">
        <v>184</v>
      </c>
    </row>
    <row r="13" spans="1:23" x14ac:dyDescent="0.25">
      <c r="A13" t="s">
        <v>187</v>
      </c>
      <c r="B13" t="s">
        <v>184</v>
      </c>
      <c r="D13" t="s">
        <v>187</v>
      </c>
      <c r="E13" t="s">
        <v>186</v>
      </c>
      <c r="G13" t="s">
        <v>187</v>
      </c>
      <c r="H13" t="s">
        <v>184</v>
      </c>
      <c r="J13" t="s">
        <v>187</v>
      </c>
      <c r="K13" t="s">
        <v>184</v>
      </c>
    </row>
    <row r="14" spans="1:23" x14ac:dyDescent="0.25">
      <c r="A14" t="s">
        <v>188</v>
      </c>
      <c r="B14" t="s">
        <v>184</v>
      </c>
      <c r="D14" t="s">
        <v>188</v>
      </c>
      <c r="E14" t="s">
        <v>186</v>
      </c>
      <c r="G14" t="s">
        <v>188</v>
      </c>
      <c r="H14" t="s">
        <v>186</v>
      </c>
      <c r="J14" t="s">
        <v>188</v>
      </c>
      <c r="K14" t="s">
        <v>185</v>
      </c>
    </row>
    <row r="15" spans="1:23" x14ac:dyDescent="0.25">
      <c r="A15" t="s">
        <v>189</v>
      </c>
      <c r="B15" t="s">
        <v>184</v>
      </c>
      <c r="D15" t="s">
        <v>189</v>
      </c>
      <c r="E15" t="s">
        <v>184</v>
      </c>
      <c r="G15" t="s">
        <v>189</v>
      </c>
      <c r="H15" t="s">
        <v>184</v>
      </c>
      <c r="J15" t="s">
        <v>189</v>
      </c>
      <c r="K15" t="s">
        <v>184</v>
      </c>
    </row>
    <row r="16" spans="1:23" x14ac:dyDescent="0.25">
      <c r="A16" t="s">
        <v>190</v>
      </c>
      <c r="B16" t="s">
        <v>185</v>
      </c>
      <c r="D16" t="s">
        <v>190</v>
      </c>
      <c r="E16" t="s">
        <v>185</v>
      </c>
      <c r="G16" t="s">
        <v>190</v>
      </c>
      <c r="H16" t="s">
        <v>185</v>
      </c>
      <c r="J16" t="s">
        <v>190</v>
      </c>
      <c r="K16" t="s">
        <v>185</v>
      </c>
    </row>
    <row r="17" spans="1:11" x14ac:dyDescent="0.25">
      <c r="A17" t="s">
        <v>191</v>
      </c>
      <c r="B17" t="s">
        <v>184</v>
      </c>
      <c r="D17" t="s">
        <v>191</v>
      </c>
      <c r="E17" t="s">
        <v>185</v>
      </c>
      <c r="G17" t="s">
        <v>191</v>
      </c>
      <c r="H17" t="s">
        <v>184</v>
      </c>
      <c r="J17" t="s">
        <v>191</v>
      </c>
      <c r="K17" t="s">
        <v>184</v>
      </c>
    </row>
    <row r="18" spans="1:11" x14ac:dyDescent="0.25">
      <c r="A18" t="s">
        <v>192</v>
      </c>
      <c r="B18" t="s">
        <v>184</v>
      </c>
      <c r="D18" t="s">
        <v>192</v>
      </c>
      <c r="E18" t="s">
        <v>185</v>
      </c>
      <c r="G18" t="s">
        <v>192</v>
      </c>
      <c r="H18" t="s">
        <v>186</v>
      </c>
      <c r="J18" t="s">
        <v>192</v>
      </c>
      <c r="K18" t="s">
        <v>186</v>
      </c>
    </row>
    <row r="19" spans="1:11" x14ac:dyDescent="0.25">
      <c r="A19" t="s">
        <v>193</v>
      </c>
      <c r="B19" t="s">
        <v>184</v>
      </c>
      <c r="D19" t="s">
        <v>193</v>
      </c>
      <c r="E19" t="s">
        <v>184</v>
      </c>
      <c r="G19" t="s">
        <v>193</v>
      </c>
      <c r="H19" t="s">
        <v>184</v>
      </c>
      <c r="J19" t="s">
        <v>193</v>
      </c>
      <c r="K19" t="s">
        <v>185</v>
      </c>
    </row>
  </sheetData>
  <conditionalFormatting sqref="B2:B9">
    <cfRule type="containsText" dxfId="35" priority="34" operator="containsText" text="Low">
      <formula>NOT(ISERROR(SEARCH("Low",B2)))</formula>
    </cfRule>
    <cfRule type="containsText" dxfId="34" priority="35" operator="containsText" text="High">
      <formula>NOT(ISERROR(SEARCH("High",B2)))</formula>
    </cfRule>
    <cfRule type="containsText" dxfId="33" priority="36" operator="containsText" text="Medium">
      <formula>NOT(ISERROR(SEARCH("Medium",B2)))</formula>
    </cfRule>
  </conditionalFormatting>
  <conditionalFormatting sqref="B11:B19">
    <cfRule type="containsText" dxfId="32" priority="10" operator="containsText" text="Low">
      <formula>NOT(ISERROR(SEARCH("Low",B11)))</formula>
    </cfRule>
    <cfRule type="containsText" dxfId="31" priority="11" operator="containsText" text="High">
      <formula>NOT(ISERROR(SEARCH("High",B11)))</formula>
    </cfRule>
    <cfRule type="containsText" dxfId="30" priority="12" operator="containsText" text="Medium">
      <formula>NOT(ISERROR(SEARCH("Medium",B11)))</formula>
    </cfRule>
  </conditionalFormatting>
  <conditionalFormatting sqref="E2:E9">
    <cfRule type="containsText" dxfId="29" priority="31" operator="containsText" text="Low">
      <formula>NOT(ISERROR(SEARCH("Low",E2)))</formula>
    </cfRule>
    <cfRule type="containsText" dxfId="28" priority="32" operator="containsText" text="High">
      <formula>NOT(ISERROR(SEARCH("High",E2)))</formula>
    </cfRule>
    <cfRule type="containsText" dxfId="27" priority="33" operator="containsText" text="Medium">
      <formula>NOT(ISERROR(SEARCH("Medium",E2)))</formula>
    </cfRule>
  </conditionalFormatting>
  <conditionalFormatting sqref="E11:E19">
    <cfRule type="containsText" dxfId="26" priority="7" operator="containsText" text="Low">
      <formula>NOT(ISERROR(SEARCH("Low",E11)))</formula>
    </cfRule>
    <cfRule type="containsText" dxfId="25" priority="8" operator="containsText" text="High">
      <formula>NOT(ISERROR(SEARCH("High",E11)))</formula>
    </cfRule>
    <cfRule type="containsText" dxfId="24" priority="9" operator="containsText" text="Medium">
      <formula>NOT(ISERROR(SEARCH("Medium",E11)))</formula>
    </cfRule>
  </conditionalFormatting>
  <conditionalFormatting sqref="H2:H9">
    <cfRule type="containsText" dxfId="23" priority="28" operator="containsText" text="Low">
      <formula>NOT(ISERROR(SEARCH("Low",H2)))</formula>
    </cfRule>
    <cfRule type="containsText" dxfId="22" priority="29" operator="containsText" text="High">
      <formula>NOT(ISERROR(SEARCH("High",H2)))</formula>
    </cfRule>
    <cfRule type="containsText" dxfId="21" priority="30" operator="containsText" text="Medium">
      <formula>NOT(ISERROR(SEARCH("Medium",H2)))</formula>
    </cfRule>
  </conditionalFormatting>
  <conditionalFormatting sqref="H11:H19">
    <cfRule type="containsText" dxfId="20" priority="4" operator="containsText" text="Low">
      <formula>NOT(ISERROR(SEARCH("Low",H11)))</formula>
    </cfRule>
    <cfRule type="containsText" dxfId="19" priority="5" operator="containsText" text="High">
      <formula>NOT(ISERROR(SEARCH("High",H11)))</formula>
    </cfRule>
    <cfRule type="containsText" dxfId="18" priority="6" operator="containsText" text="Medium">
      <formula>NOT(ISERROR(SEARCH("Medium",H11)))</formula>
    </cfRule>
  </conditionalFormatting>
  <conditionalFormatting sqref="K2:K9">
    <cfRule type="containsText" dxfId="17" priority="25" operator="containsText" text="Low">
      <formula>NOT(ISERROR(SEARCH("Low",K2)))</formula>
    </cfRule>
    <cfRule type="containsText" dxfId="16" priority="26" operator="containsText" text="High">
      <formula>NOT(ISERROR(SEARCH("High",K2)))</formula>
    </cfRule>
    <cfRule type="containsText" dxfId="15" priority="27" operator="containsText" text="Medium">
      <formula>NOT(ISERROR(SEARCH("Medium",K2)))</formula>
    </cfRule>
  </conditionalFormatting>
  <conditionalFormatting sqref="K11:K19">
    <cfRule type="containsText" dxfId="14" priority="1" operator="containsText" text="Low">
      <formula>NOT(ISERROR(SEARCH("Low",K11)))</formula>
    </cfRule>
    <cfRule type="containsText" dxfId="13" priority="2" operator="containsText" text="High">
      <formula>NOT(ISERROR(SEARCH("High",K11)))</formula>
    </cfRule>
    <cfRule type="containsText" dxfId="12" priority="3" operator="containsText" text="Medium">
      <formula>NOT(ISERROR(SEARCH("Medium",K11)))</formula>
    </cfRule>
  </conditionalFormatting>
  <conditionalFormatting sqref="N2:N9">
    <cfRule type="containsText" dxfId="11" priority="22" operator="containsText" text="Low">
      <formula>NOT(ISERROR(SEARCH("Low",N2)))</formula>
    </cfRule>
    <cfRule type="containsText" dxfId="10" priority="23" operator="containsText" text="High">
      <formula>NOT(ISERROR(SEARCH("High",N2)))</formula>
    </cfRule>
    <cfRule type="containsText" dxfId="9" priority="24" operator="containsText" text="Medium">
      <formula>NOT(ISERROR(SEARCH("Medium",N2)))</formula>
    </cfRule>
  </conditionalFormatting>
  <conditionalFormatting sqref="Q2:Q9">
    <cfRule type="containsText" dxfId="8" priority="19" operator="containsText" text="Low">
      <formula>NOT(ISERROR(SEARCH("Low",Q2)))</formula>
    </cfRule>
    <cfRule type="containsText" dxfId="7" priority="20" operator="containsText" text="High">
      <formula>NOT(ISERROR(SEARCH("High",Q2)))</formula>
    </cfRule>
    <cfRule type="containsText" dxfId="6" priority="21" operator="containsText" text="Medium">
      <formula>NOT(ISERROR(SEARCH("Medium",Q2)))</formula>
    </cfRule>
  </conditionalFormatting>
  <conditionalFormatting sqref="T2:T9">
    <cfRule type="containsText" dxfId="5" priority="16" operator="containsText" text="Low">
      <formula>NOT(ISERROR(SEARCH("Low",T2)))</formula>
    </cfRule>
    <cfRule type="containsText" dxfId="4" priority="17" operator="containsText" text="High">
      <formula>NOT(ISERROR(SEARCH("High",T2)))</formula>
    </cfRule>
    <cfRule type="containsText" dxfId="3" priority="18" operator="containsText" text="Medium">
      <formula>NOT(ISERROR(SEARCH("Medium",T2)))</formula>
    </cfRule>
  </conditionalFormatting>
  <conditionalFormatting sqref="W2:W9">
    <cfRule type="containsText" dxfId="2" priority="13" operator="containsText" text="Low">
      <formula>NOT(ISERROR(SEARCH("Low",W2)))</formula>
    </cfRule>
    <cfRule type="containsText" dxfId="1" priority="14" operator="containsText" text="High">
      <formula>NOT(ISERROR(SEARCH("High",W2)))</formula>
    </cfRule>
    <cfRule type="containsText" dxfId="0" priority="15" operator="containsText" text="Medium">
      <formula>NOT(ISERROR(SEARCH("Medium",W2)))</formula>
    </cfRule>
  </conditionalFormatting>
  <dataValidations count="1">
    <dataValidation type="list" allowBlank="1" showInputMessage="1" showErrorMessage="1" sqref="B2:B9 E2:E9 H2:H9 K2:K9 N2:N9 Q2:Q9 T2:T9 W2:W9 B12:B19 E12:E19 H12:H19 K12:K19" xr:uid="{38762752-BE62-48F8-BBB5-01E7940747B9}">
      <formula1>"Low, Medium, High"</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stalker damage calc</vt:lpstr>
      <vt:lpstr>Mutant Damage Calc</vt:lpstr>
      <vt:lpstr>Armor Balance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Midkiff</dc:creator>
  <cp:lastModifiedBy>Mike Midkiff</cp:lastModifiedBy>
  <dcterms:created xsi:type="dcterms:W3CDTF">2026-07-06T01:57:21Z</dcterms:created>
  <dcterms:modified xsi:type="dcterms:W3CDTF">2026-07-06T01:58:35Z</dcterms:modified>
</cp:coreProperties>
</file>